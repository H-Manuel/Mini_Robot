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0730EB3F-75F1-03CD-C966-41DC9FD4AD36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manuh\Downloads\"/>
    </mc:Choice>
  </mc:AlternateContent>
  <xr:revisionPtr revIDLastSave="0" documentId="13_ncr:1_{C2051572-FE98-4FDC-823F-88B529B71197}" xr6:coauthVersionLast="47" xr6:coauthVersionMax="47" xr10:uidLastSave="{00000000-0000-0000-0000-000000000000}"/>
  <bookViews>
    <workbookView xWindow="-103" yWindow="-103" windowWidth="24892" windowHeight="15634" xr2:uid="{00000000-000D-0000-FFFF-FFFF00000000}"/>
  </bookViews>
  <sheets>
    <sheet name="Bestellliste" sheetId="3" r:id="rId1"/>
    <sheet name="Übliche Händler" sheetId="5" r:id="rId2"/>
    <sheet name="Beispiel" sheetId="7" r:id="rId3"/>
    <sheet name="Beschreibung-Spalten" sheetId="6" r:id="rId4"/>
  </sheets>
  <definedNames>
    <definedName name="_xlnm._FilterDatabase" localSheetId="2" hidden="1">Beispiel!$B$3:$O$7</definedName>
    <definedName name="_xlnm._FilterDatabase" localSheetId="0" hidden="1">Bestellliste!$B$1:$M$1</definedName>
    <definedName name="_xlnm._FilterDatabase" localSheetId="1" hidden="1">'Übliche Händler'!$B$3:$G$47</definedName>
    <definedName name="Händler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0" i="3" l="1"/>
  <c r="H2" i="3"/>
  <c r="K2" i="3" s="1"/>
  <c r="J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H3" i="3"/>
  <c r="L3" i="3" s="1"/>
  <c r="H4" i="3"/>
  <c r="L4" i="3" s="1"/>
  <c r="H5" i="3"/>
  <c r="L5" i="3" s="1"/>
  <c r="H6" i="3"/>
  <c r="L6" i="3" s="1"/>
  <c r="H7" i="3"/>
  <c r="L7" i="3" s="1"/>
  <c r="H8" i="3"/>
  <c r="L8" i="3" s="1"/>
  <c r="H9" i="3"/>
  <c r="L9" i="3" s="1"/>
  <c r="H10" i="3"/>
  <c r="L10" i="3" s="1"/>
  <c r="H11" i="3"/>
  <c r="H12" i="3"/>
  <c r="L12" i="3" s="1"/>
  <c r="H13" i="3"/>
  <c r="L13" i="3" s="1"/>
  <c r="H14" i="3"/>
  <c r="L14" i="3" s="1"/>
  <c r="H15" i="3"/>
  <c r="L15" i="3" s="1"/>
  <c r="H16" i="3"/>
  <c r="L16" i="3" s="1"/>
  <c r="H17" i="3"/>
  <c r="L17" i="3" s="1"/>
  <c r="H18" i="3"/>
  <c r="L18" i="3" s="1"/>
  <c r="H19" i="3"/>
  <c r="H20" i="3"/>
  <c r="L20" i="3" s="1"/>
  <c r="H21" i="3"/>
  <c r="L21" i="3" s="1"/>
  <c r="H22" i="3"/>
  <c r="L22" i="3" s="1"/>
  <c r="H23" i="3"/>
  <c r="L23" i="3" s="1"/>
  <c r="H24" i="3"/>
  <c r="L24" i="3" s="1"/>
  <c r="H25" i="3"/>
  <c r="L25" i="3" s="1"/>
  <c r="H26" i="3"/>
  <c r="L26" i="3" s="1"/>
  <c r="H27" i="3"/>
  <c r="L27" i="3" s="1"/>
  <c r="H28" i="3"/>
  <c r="H29" i="3"/>
  <c r="L29" i="3" s="1"/>
  <c r="H30" i="3"/>
  <c r="L30" i="3" s="1"/>
  <c r="H31" i="3"/>
  <c r="L31" i="3" s="1"/>
  <c r="H32" i="3"/>
  <c r="L32" i="3" s="1"/>
  <c r="H33" i="3"/>
  <c r="L33" i="3" s="1"/>
  <c r="H34" i="3"/>
  <c r="H35" i="3"/>
  <c r="L35" i="3" s="1"/>
  <c r="H36" i="3"/>
  <c r="L36" i="3" s="1"/>
  <c r="H37" i="3"/>
  <c r="L37" i="3" s="1"/>
  <c r="H38" i="3"/>
  <c r="L38" i="3" s="1"/>
  <c r="H39" i="3"/>
  <c r="L39" i="3" s="1"/>
  <c r="L11" i="3"/>
  <c r="L19" i="3"/>
  <c r="L28" i="3"/>
  <c r="L34" i="3"/>
  <c r="J3" i="3"/>
  <c r="J4" i="3"/>
  <c r="J5" i="3"/>
  <c r="J39" i="3"/>
  <c r="J6" i="3"/>
  <c r="J36" i="3"/>
  <c r="J35" i="3"/>
  <c r="J34" i="3"/>
  <c r="J33" i="3"/>
  <c r="J38" i="3"/>
  <c r="J30" i="3"/>
  <c r="J7" i="3"/>
  <c r="J31" i="3"/>
  <c r="J32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37" i="3"/>
  <c r="J26" i="3"/>
  <c r="J27" i="3"/>
  <c r="J28" i="3"/>
  <c r="J29" i="3"/>
  <c r="J8" i="3"/>
  <c r="L4" i="7"/>
  <c r="K8" i="7"/>
  <c r="L8" i="7" s="1"/>
  <c r="N7" i="7"/>
  <c r="K7" i="7"/>
  <c r="L7" i="7" s="1"/>
  <c r="N6" i="7"/>
  <c r="N10" i="7" s="1"/>
  <c r="K6" i="7"/>
  <c r="L6" i="7" s="1"/>
  <c r="K5" i="7"/>
  <c r="K4" i="7"/>
  <c r="L2" i="3" l="1"/>
  <c r="L40" i="3" s="1"/>
  <c r="K10" i="7"/>
  <c r="L5" i="7"/>
  <c r="L10" i="7" s="1"/>
</calcChain>
</file>

<file path=xl/sharedStrings.xml><?xml version="1.0" encoding="utf-8"?>
<sst xmlns="http://schemas.openxmlformats.org/spreadsheetml/2006/main" count="516" uniqueCount="293">
  <si>
    <t>Best.</t>
  </si>
  <si>
    <t>Gegenstand</t>
  </si>
  <si>
    <t>Händler</t>
  </si>
  <si>
    <t>Artikelnummer</t>
  </si>
  <si>
    <t>Link</t>
  </si>
  <si>
    <t>Anzahl</t>
  </si>
  <si>
    <t>Länge in m</t>
  </si>
  <si>
    <t>Brutto pro VE</t>
  </si>
  <si>
    <t>Netto pro VE</t>
  </si>
  <si>
    <t>Brutto ges.</t>
  </si>
  <si>
    <t>Netto ges.</t>
  </si>
  <si>
    <t>kg/m</t>
  </si>
  <si>
    <t>Masse in kg</t>
  </si>
  <si>
    <t>Notiz</t>
  </si>
  <si>
    <t>Summe</t>
  </si>
  <si>
    <t>Beschreibung</t>
  </si>
  <si>
    <t>Angebot notwendig?</t>
  </si>
  <si>
    <t>Kategorie</t>
  </si>
  <si>
    <t>Alcom</t>
  </si>
  <si>
    <t>item-Profile &amp; Verbinder</t>
  </si>
  <si>
    <t>JA</t>
  </si>
  <si>
    <t>https://www.alcom-international.de/baukastensystem.html</t>
  </si>
  <si>
    <t>Mechanisch</t>
  </si>
  <si>
    <t>selbe Firma wie SMT</t>
  </si>
  <si>
    <t>Amazon</t>
  </si>
  <si>
    <t>Diverses</t>
  </si>
  <si>
    <t>NEIN</t>
  </si>
  <si>
    <t>https://amazon.de</t>
  </si>
  <si>
    <t>Bestellung nur möglich, wenn Händler eine ordentliche Rechnung stellen kann</t>
  </si>
  <si>
    <t>Bauhaus</t>
  </si>
  <si>
    <t>Baumarkt</t>
  </si>
  <si>
    <t>https://www.bauhaus.at/</t>
  </si>
  <si>
    <t>Bar bezahlen &amp; Spesenabrechnung</t>
  </si>
  <si>
    <t>CNCShop</t>
  </si>
  <si>
    <t>CNC-Komponenten</t>
  </si>
  <si>
    <t>https://www.cncshop.at/</t>
  </si>
  <si>
    <t>Conrad</t>
  </si>
  <si>
    <t>Elektrokomponenten</t>
  </si>
  <si>
    <t>https://www.conrad.at/</t>
  </si>
  <si>
    <t>Elektrisch</t>
  </si>
  <si>
    <t>Contorion</t>
  </si>
  <si>
    <t>Werkzeug, Betriebsausstattung, etc.</t>
  </si>
  <si>
    <t>https://www.contorion.at/</t>
  </si>
  <si>
    <t>Digikey</t>
  </si>
  <si>
    <t>https://www.digikey.at/</t>
  </si>
  <si>
    <t>Distrelec</t>
  </si>
  <si>
    <t>https://www.distrelec.at/</t>
  </si>
  <si>
    <t>DOLD Mechatronik</t>
  </si>
  <si>
    <t>item-Profile, Motoren, etc.</t>
  </si>
  <si>
    <t>https://www.dold-mechatronik.de/</t>
  </si>
  <si>
    <t>Eckstein Komponenten</t>
  </si>
  <si>
    <t>https://eckstein-shop.de/Startseite</t>
  </si>
  <si>
    <t>Elesa+Ganter</t>
  </si>
  <si>
    <t>Maschinenelemente, Normteile, etc.</t>
  </si>
  <si>
    <t>https://www.elesa-ganter.at/de/aut</t>
  </si>
  <si>
    <t>ELV Elektronik</t>
  </si>
  <si>
    <t>https://de.elv.com/</t>
  </si>
  <si>
    <t>Eurocircuits</t>
  </si>
  <si>
    <t>PCBs &amp; Bestückung</t>
  </si>
  <si>
    <t>https://www.eurocircuits.com/</t>
  </si>
  <si>
    <t>faigle Kunststoffe</t>
  </si>
  <si>
    <t>Plexiglas/PMMA</t>
  </si>
  <si>
    <t>https://www.faigle.com/en</t>
  </si>
  <si>
    <t>Fix Metall</t>
  </si>
  <si>
    <t>Fe- &amp; Nicht-Fe-Metalle, Zuschnitt</t>
  </si>
  <si>
    <t>https://www.fixmetall-shop.com/</t>
  </si>
  <si>
    <t>Funkenflug</t>
  </si>
  <si>
    <t>Laserteile</t>
  </si>
  <si>
    <t>https://www.funkenflug.co.at/</t>
  </si>
  <si>
    <t>in Kematen</t>
  </si>
  <si>
    <t>Gemmel Metalle</t>
  </si>
  <si>
    <t>https://www.gemmel-metalle.de/</t>
  </si>
  <si>
    <t>gezogene Al-Wellen</t>
  </si>
  <si>
    <t>Haberkorn</t>
  </si>
  <si>
    <t>Maschinenelemente, item-Profile, etc.</t>
  </si>
  <si>
    <t>https://www.haberkorn.com/</t>
  </si>
  <si>
    <t>Preise nur mit MCI Account sichtbar</t>
  </si>
  <si>
    <t>Hoffmann</t>
  </si>
  <si>
    <t>https://www.hoffmann-group.com/AT/de/hoa/</t>
  </si>
  <si>
    <t>IBL Sägeservice</t>
  </si>
  <si>
    <t>https://shop.ibl-raimund.de/</t>
  </si>
  <si>
    <t>Köllensperger</t>
  </si>
  <si>
    <t>Stahl, Zuschnitt</t>
  </si>
  <si>
    <t>https://www.koellensperger-stahl.at/</t>
  </si>
  <si>
    <t>Kugellager Express</t>
  </si>
  <si>
    <t>Kugellager</t>
  </si>
  <si>
    <t>https://www.kugellager-express.de/</t>
  </si>
  <si>
    <t>günstig, aber qualitativ schlechter</t>
  </si>
  <si>
    <t>maunsystem</t>
  </si>
  <si>
    <t>item-Profile &amp; Verbinder, Kunststoffplatten, etc.</t>
  </si>
  <si>
    <t>https://www.maunsystem.de/</t>
  </si>
  <si>
    <t>Metall Fachhandel</t>
  </si>
  <si>
    <t>Nicht-Fe-Metalle, Zuschnitt</t>
  </si>
  <si>
    <t>https://metall-fachhandel.de/</t>
  </si>
  <si>
    <t>Metzler</t>
  </si>
  <si>
    <t>https://www.metzler.at/</t>
  </si>
  <si>
    <t>Misumi</t>
  </si>
  <si>
    <t>https://de.misumi-ec.com</t>
  </si>
  <si>
    <t>Mouser</t>
  </si>
  <si>
    <t>https://www.mouser.at/</t>
  </si>
  <si>
    <t>norelem</t>
  </si>
  <si>
    <t>https://norelem.de/de/</t>
  </si>
  <si>
    <t>Obi</t>
  </si>
  <si>
    <t>https://www.obi.at/</t>
  </si>
  <si>
    <t>Panta-Shop</t>
  </si>
  <si>
    <t>https://www.kugellager-panta.de/home-vm</t>
  </si>
  <si>
    <t>Plexcom</t>
  </si>
  <si>
    <t>https://www.plexcom.at/</t>
  </si>
  <si>
    <t>Pointner Metallverarbeitung</t>
  </si>
  <si>
    <t>https://www.pointner.cc/#</t>
  </si>
  <si>
    <t>Schwaz</t>
  </si>
  <si>
    <t>Ragg</t>
  </si>
  <si>
    <t>https://www.ragg-stahlhandel.com/</t>
  </si>
  <si>
    <t>Reichelt</t>
  </si>
  <si>
    <t>https://www.reichelt.at/</t>
  </si>
  <si>
    <t>Robotshop</t>
  </si>
  <si>
    <t>https://eu.robotshop.com/de</t>
  </si>
  <si>
    <t>RS Components</t>
  </si>
  <si>
    <t>Elektro- &amp; Mechanische Komponenten</t>
  </si>
  <si>
    <t>https://at.rs-online.com/web/</t>
  </si>
  <si>
    <t>Vielfach Zustellung am nächsten/übernächsten Tag</t>
  </si>
  <si>
    <t>Schrauben TB</t>
  </si>
  <si>
    <t>Schrauben</t>
  </si>
  <si>
    <t>https://shop.schrauben-tb.at/</t>
  </si>
  <si>
    <t>SMT</t>
  </si>
  <si>
    <t>https://www.smt-montagetechnik.de/produkte/</t>
  </si>
  <si>
    <t>selbe Firma wie Alcom</t>
  </si>
  <si>
    <t>S-Polytec</t>
  </si>
  <si>
    <t>Kunststoffplatten</t>
  </si>
  <si>
    <t>https://www.s-polytec.de/</t>
  </si>
  <si>
    <t>Stasto</t>
  </si>
  <si>
    <t>Pneumatik &amp; Hydraulik Zubehör</t>
  </si>
  <si>
    <t>https://www.stasto.eu/</t>
  </si>
  <si>
    <t>Top Maschinen</t>
  </si>
  <si>
    <t>Maschinen</t>
  </si>
  <si>
    <t>https://www.top-maschinen.de/</t>
  </si>
  <si>
    <t>WDS Components</t>
  </si>
  <si>
    <t>https://www.wdscomponents.com/de</t>
  </si>
  <si>
    <t>aus UK</t>
  </si>
  <si>
    <t>Werkzeugprofi Köchl</t>
  </si>
  <si>
    <t>Fräs-/Drehwerkzeuge</t>
  </si>
  <si>
    <t>https://www.werkzeug-profi.at/</t>
  </si>
  <si>
    <t>in Birgitz</t>
  </si>
  <si>
    <t>Würth</t>
  </si>
  <si>
    <t>Betriebsaustattung, Maschinenelemente, etc.</t>
  </si>
  <si>
    <t>https://eshop.wuerth.at/de/DE/EUR/</t>
  </si>
  <si>
    <t>Mutter aus Onlineshop, Tochter über Angebot</t>
  </si>
  <si>
    <t>RFM</t>
  </si>
  <si>
    <t>Pt100 4-Leiter</t>
  </si>
  <si>
    <t>1579097 - 62</t>
  </si>
  <si>
    <t>https://www.conrad.at/de/p/sontec-tt6-045-a-a-4l-s-2-0-ade-pt100-temperaturfuehler-40-bis-180-c-1579097.html</t>
  </si>
  <si>
    <t>Cuttermesser</t>
  </si>
  <si>
    <t>1339848 - 62</t>
  </si>
  <si>
    <t>https://www.conrad.at/de/p/cuttermesser-c-k-t0951-1-st-1339848.html</t>
  </si>
  <si>
    <t>MÄW</t>
  </si>
  <si>
    <t>Aluprofil 8 80x40 schwer</t>
  </si>
  <si>
    <t>Z12685</t>
  </si>
  <si>
    <t>https://www.haberkorn.com/item-profilsysteme/mb-systembaukasten/profile-und-zubehoer/konstruktionsprofil/1093819-konstruktionsprofil-8-rastermass-40-mm?partNumber=Z12685</t>
  </si>
  <si>
    <t>BFD</t>
  </si>
  <si>
    <t>Cap 0603 10V 3900p</t>
  </si>
  <si>
    <t>581-06035C392K</t>
  </si>
  <si>
    <t>https://mou.sr/3H4Pt14</t>
  </si>
  <si>
    <t>1 Stk pro PCB</t>
  </si>
  <si>
    <t>Spalte</t>
  </si>
  <si>
    <t>Name</t>
  </si>
  <si>
    <t>Kürzel des Projektes für das die Bestellung getätigt wird.
z.B.: SDL für allgemeines für das Labor, etc.</t>
  </si>
  <si>
    <t>Beschreibung des Produktes</t>
  </si>
  <si>
    <t>Name des Händlers</t>
  </si>
  <si>
    <t>genaue Artikelnummer des Produktes beim ausgewählten Händler</t>
  </si>
  <si>
    <t>Direkter Link zum Produkt auf der Homepage des Händlers</t>
  </si>
  <si>
    <t>Anzahl an Verkaufseinheiten (VE) die bezogen werden sollen</t>
  </si>
  <si>
    <t>Bei Zuschnittsware Länge in m pro Stk.</t>
  </si>
  <si>
    <t>Bruttopreis pro VE --&gt; wenn in dieser Spalte ein Wert eingetragen wird,
so berechnet sich automatisch der Nettopreis pro VE</t>
  </si>
  <si>
    <t>Nettopreis pro VE --&gt; wenn in dieser Spalte ein Wert eingetragen wird,
so berechnet sich automatisch der Bruttopreis pro VE</t>
  </si>
  <si>
    <t>Gesamtbruttopreis berechnet aus Anzahl/Länge und Brutto pro VE</t>
  </si>
  <si>
    <t>Gesamtnettopreis berechnet aus Gesamtbruttopreis</t>
  </si>
  <si>
    <t>Hilfsspalte für Zuschnitte um Gesamtmasse zu berechnen</t>
  </si>
  <si>
    <t>Hilfsspalte für Masse in kg
Hilfreich um Versandkosten o.Ä. überschlagen zu können</t>
  </si>
  <si>
    <t>Farnell</t>
  </si>
  <si>
    <t>MRP</t>
  </si>
  <si>
    <t>ESP32-S3-WROOM-2-N32R16V</t>
  </si>
  <si>
    <t>356-SP32S3WM2N32R16V</t>
  </si>
  <si>
    <t>https://www.mouser.at/ProductDetail/Espressif-Systems/ESP32-S3-WROOM-2-N32R16V?qs=%252BHhoWzUJg4Kf%2FwmS40wg%252BQ%3D%3D&amp;utm_source=octopart&amp;utm_medium=aggregator&amp;utm_campaign=356-SP32S3WM2N32R16V&amp;utm_content=Espressif</t>
  </si>
  <si>
    <t>632723130112</t>
  </si>
  <si>
    <t>710-632723130112</t>
  </si>
  <si>
    <t>https://www.mouser.at/ProductDetail/Wurth-Elektronik/632723130112?qs=2WXlatMagcEknienHxbwUw%3D%3D&amp;utm_source=octopart&amp;utm_medium=aggregator&amp;utm_campaign=710-632723130112&amp;utm_content=Wurth+Elektronik</t>
  </si>
  <si>
    <t>RC0805FR-075K11L</t>
  </si>
  <si>
    <t>603-RC0805FR-075K11L</t>
  </si>
  <si>
    <t>https://www.mouser.at/ProductDetail/YAGEO/RC0805FR-075K11L?qs=GWlJ5nlKA9Kjt4Lvy7ebqg%3D%3D&amp;utm_source=octopart&amp;utm_medium=aggregator&amp;utm_campaign=603-RC0805FR-075K11L&amp;utm_content=YAGEO</t>
  </si>
  <si>
    <t>ERJ-6ENF1002V</t>
  </si>
  <si>
    <t>667-ERJ-6ENF1002V</t>
  </si>
  <si>
    <t>https://www.mouser.at/ProductDetail/Panasonic/ERJ-6ENF1002V?qs=4WZYzuGhm5pfKPfuMiCO5g%3D%3D&amp;utm_source=octopart&amp;utm_medium=aggregator&amp;utm_campaign=667-ERJ-6ENF1002V&amp;utm_content=Panasonic</t>
  </si>
  <si>
    <t>PTS636 SKG25 SMTR LFS</t>
  </si>
  <si>
    <t>611-PTS636SKG25SMTRL</t>
  </si>
  <si>
    <t>https://www.mouser.at/ProductDetail/CK/PTS636SKG25SMTR-LFS?qs=jcD%2FCkGBYeMSi9mMROgKPw%3D%3D&amp;utm_source=octopart&amp;utm_medium=aggregator&amp;utm_campaign=611-PTS636SKG25SMTRL&amp;utm_content=C</t>
  </si>
  <si>
    <t>C0805C105K5RACTU</t>
  </si>
  <si>
    <t>80-C0805C105K5R</t>
  </si>
  <si>
    <t>https://www.mouser.at/ProductDetail/KEMET/C0805C105K5RACTU?qs=iP0bYSAMAFrBrUflcErrLQ%3D%3D&amp;utm_source=octopart&amp;utm_medium=aggregator&amp;utm_campaign=80-C0805C105K5R&amp;utm_content=KEMET</t>
  </si>
  <si>
    <t>C0805C751J5GACTU</t>
  </si>
  <si>
    <t>80-C0805C751J5G</t>
  </si>
  <si>
    <t>https://www.mouser.at/ProductDetail/KEMET/C0805C751J5GACTU?qs=rT7oEelGa5ShHCGffTrjaQ%3D%3D</t>
  </si>
  <si>
    <t>C0805C330J1GACTU</t>
  </si>
  <si>
    <t>80-C0805C330J1G</t>
  </si>
  <si>
    <t>https://www.mouser.at/ProductDetail/KEMET/C0805C330J1GACTU?qs=gvFaghJzhf8QGT1ZmLc2jg%3D%3D</t>
  </si>
  <si>
    <t>0805PC822KAT1A</t>
  </si>
  <si>
    <t>581-0805PC822K</t>
  </si>
  <si>
    <t>https://www.mouser.at/ProductDetail/KYOCERA-AVX/0805PC822KAT1A?qs=jkSyaj9O%252BaLlE8R2y3eMwQ%3D%3D&amp;utm_source=octopart&amp;utm_medium=aggregator&amp;utm_campaign=581-0805PC822K&amp;utm_content=KYOCERA%20AVX</t>
  </si>
  <si>
    <t>HSMS-C170</t>
  </si>
  <si>
    <t>630-HSMS-C170</t>
  </si>
  <si>
    <t>https://www.mouser.at/ProductDetail/Broadcom-Avago/HSMS-C170?qs=YDL0qNrpDT4zTBW%2FuQbEJw%3D%3D&amp;utm_source=octopart&amp;utm_medium=aggregator&amp;utm_campaign=630-HSMS-C170&amp;utm_content=Broadcom+Limited</t>
  </si>
  <si>
    <t>USBLC6-2P6</t>
  </si>
  <si>
    <t>511-USBLC6-2P6</t>
  </si>
  <si>
    <t>https://www.mouser.at/ProductDetail/STMicroelectronics/USBLC6-2P6?qs=6ARB0lp6jlViGcbUSvj1Mw%3D%3D&amp;utm_source=octopart&amp;utm_medium=aggregator&amp;utm_campaign=511-USBLC6-2P6&amp;utm_content=STMicroelectronics</t>
  </si>
  <si>
    <t>CRCW080532K4FKEA</t>
  </si>
  <si>
    <t>71-CRCW0805-32.4K-E3</t>
  </si>
  <si>
    <t>https://www.mouser.at/ProductDetail/Vishay/CRCW080532K4FKEA?qs=TrAHXYCGmqxnKYcv3rjFsg%3D%3D</t>
  </si>
  <si>
    <t>CRCW080568R0FKEA</t>
  </si>
  <si>
    <t>71-CRCW080568R0FKEA</t>
  </si>
  <si>
    <t>https://www.mouser.at/ProductDetail/Vishay/CRCW080568R0FKEA?qs=QtIOgScU7%252BuN8q%252Byb2qbxQ%3D%3D&amp;utm_source=octopart&amp;utm_medium=aggregator&amp;utm_campaign=71-CRCW080568R0FKEA&amp;utm_content=Vishay</t>
  </si>
  <si>
    <t>TPS61088RHLT</t>
  </si>
  <si>
    <t>595-TPS61088RHLT</t>
  </si>
  <si>
    <t>https://www.mouser.at/ProductDetail/Texas-Instruments/TPS61088RHLT?qs=MiqG6Kq1qKOeAwvWtl5eUw%3D%3D</t>
  </si>
  <si>
    <t>DRV8835DSSR</t>
  </si>
  <si>
    <t>595-DRV8835DSSR</t>
  </si>
  <si>
    <t>https://www.mouser.at/ProductDetail/Texas-Instruments/DRV8835DSSR?qs=UFc95S4Z4CYjBOyEmbTDlA%3D%3D&amp;utm_source=octopart&amp;utm_medium=aggregator&amp;utm_campaign=595-DRV8835DSSR&amp;utm_content=Texas%20Instruments</t>
  </si>
  <si>
    <t>C0805C226M9PACTU</t>
  </si>
  <si>
    <t>80-C0805C226M9P</t>
  </si>
  <si>
    <t>https://www.mouser.at/ProductDetail/KEMET/C0805C226M9PACTU?qs=kHCDrmfBqSBqL0rvXoCXnA%3D%3D</t>
  </si>
  <si>
    <t>C0805C106K8PACTU</t>
  </si>
  <si>
    <t>80-C0805C106K8P</t>
  </si>
  <si>
    <t>https://www.mouser.at/ProductDetail/KEMET/C0805C106K8PACTU?qs=Zpyg6gQUYs39C21BeavaKA%3D%3D</t>
  </si>
  <si>
    <t>C0805C476M9PACTU</t>
  </si>
  <si>
    <t>80-C0805C476M9P</t>
  </si>
  <si>
    <t>https://www.mouser.at/ProductDetail/KEMET/C0805C476M9PACTU?qs=K%2Fj%2Fqf%252B0fqK83CqPLzoIkg%3D%3D</t>
  </si>
  <si>
    <t>SRN3015-1R5Y</t>
  </si>
  <si>
    <t>743-5052</t>
  </si>
  <si>
    <t>https://at.rs-online.com/web/p/smd-induktivitat/7435052?cm_mmc=aff2-_-at-_-octopart-_-7435052-_-instock</t>
  </si>
  <si>
    <t>IHLP2525CZER1R0M01</t>
  </si>
  <si>
    <t>70-IHLP2525CZER1R0M0</t>
  </si>
  <si>
    <t>https://www.mouser.at/ProductDetail/Vishay-Dale/IHLP2525CZER1R0M01?qs=PA%252BPfIdQ8xmhiHW9qkIcng%3D%3D&amp;utm_source=octopart&amp;utm_medium=aggregator&amp;utm_campaign=70-IHLP2525CZER1R0M0&amp;utm_content=Vishay</t>
  </si>
  <si>
    <t>CRCW08052K00FKEA</t>
  </si>
  <si>
    <t>71-CRCW0805-2.0K-E3</t>
  </si>
  <si>
    <t>https://www.mouser.at/ProductDetail/Vishay/CRCW08052K00FKEA?qs=SM0pg8AlB3rAI09HcwFYKg%3D%3D</t>
  </si>
  <si>
    <t>CRCW0805470RJNEA</t>
  </si>
  <si>
    <t>71-CRCW0805J-470-E3</t>
  </si>
  <si>
    <t>https://www.mouser.at/ProductDetail/Vishay/CRCW0805470RJNEA?qs=H9nSDuxQXAGwBTe5%2FhtcqA%3D%3D</t>
  </si>
  <si>
    <t>3312J-1-504E</t>
  </si>
  <si>
    <t>652-3312J-1-504E</t>
  </si>
  <si>
    <t>https://www.mouser.at/ProductDetail/Bourns/3312J-1-504E?qs=4GfDZFxiN8vwgLGeiYDClw%3D%3D&amp;utm_source=octopart&amp;utm_medium=aggregator&amp;utm_campaign=652-3312J-1-504E&amp;utm_content=Bourns</t>
  </si>
  <si>
    <t>CRCW0805261KFKEA</t>
  </si>
  <si>
    <t>71-CRCW0805261KFKEA</t>
  </si>
  <si>
    <t>https://www.mouser.at/ProductDetail/Vishay/CRCW0805261KFKEA?qs=hdPY9BlFm%252BcjbqatmtSUGg%3D%3D&amp;utm_source=octopart&amp;utm_medium=aggregator&amp;utm_campaign=71-CRCW0805261KFKEA&amp;utm_content=Vishay</t>
  </si>
  <si>
    <t>MCP73831T-2ACI/OT</t>
  </si>
  <si>
    <t>https://at.farnell.com/microchip/mcp73831t-2aci-ot/li-ion-li-poly-lade-controller/dp/1332158RL?CMP=GRHB-OCTOPART</t>
  </si>
  <si>
    <t>595-TPS63070RNMT</t>
  </si>
  <si>
    <t>TPS63070RNMT</t>
  </si>
  <si>
    <t>https://www.mouser.at/ProductDetail/Texas-Instruments/TPS63070RNMT?qs=LuYMPh7GGMTfpyXCkymsfw%3D%3D</t>
  </si>
  <si>
    <t>T491D477K006AT</t>
  </si>
  <si>
    <t>80-T491D477K006</t>
  </si>
  <si>
    <t>https://www.mouser.at/ProductDetail/KEMET/T491D477K006AT?qs=2Dzs5xnho3aulutpVLiQgg%3D%3D</t>
  </si>
  <si>
    <t>TS-102-T-A</t>
  </si>
  <si>
    <t>200-1481</t>
  </si>
  <si>
    <t>https://at.rs-online.com/web/p/leiterplatten-header/2001481?cm_mmc=aff2-_-at-_-octopart-_-2001481-_-instock</t>
  </si>
  <si>
    <t>TD-103-T-A</t>
  </si>
  <si>
    <t>200-TD103TA</t>
  </si>
  <si>
    <t>https://www.mouser.at/ProductDetail/Samtec/TD-103-T-A?qs=%252BZP6%2F%252BtExtCGerAa8W3wfw%3D%3D&amp;utm_source=octopart&amp;utm_medium=aggregator&amp;utm_campaign=200-TD103TA&amp;utm_content=Samtec</t>
  </si>
  <si>
    <t>GWCR0805-47KFT5</t>
  </si>
  <si>
    <t>756-GWCR0805-47KFT5</t>
  </si>
  <si>
    <t>https://www.mouser.at/ProductDetail/Welwyn-Components-TT-Electronics/GWCR0805-47KFT5?qs=EU6FO9ffTwddHWxqz2Mtpg%3D%3D&amp;utm_source=octopart&amp;utm_medium=aggregator&amp;utm_campaign=756-GWCR0805-47KFT5&amp;utm_content=TT+Electronics</t>
  </si>
  <si>
    <t>TLV76733DRVR</t>
  </si>
  <si>
    <t>595-TLV76733DRVR</t>
  </si>
  <si>
    <t>https://www.mouser.at/ProductDetail/Texas-Instruments/TLV76733DRVR?qs=9r4v7xj2LnmGIkwTuPlHig%3D%3D</t>
  </si>
  <si>
    <t>LSM6DSMTR</t>
  </si>
  <si>
    <t>511-LSM6DSMTR</t>
  </si>
  <si>
    <t>https://www.mouser.at/ProductDetail/STMicroelectronics/LSM6DSMTR?qs=dTJS0cRn7ogKkf7uVmbVmg%3D%3D&amp;utm_source=octopart&amp;utm_medium=aggregator&amp;utm_campaign=511-LSM6DSMTR&amp;utm_content=STMicroelectronics</t>
  </si>
  <si>
    <t>FIT0482</t>
  </si>
  <si>
    <t>DF Robot</t>
  </si>
  <si>
    <t>https://www.dfrobot.com/product-1432.html</t>
  </si>
  <si>
    <t>https://www.dfrobot.com/product-1284.html</t>
  </si>
  <si>
    <t>DFR0362</t>
  </si>
  <si>
    <t>https://www.dfrobot.com/product-2256.html</t>
  </si>
  <si>
    <t>SEN0378</t>
  </si>
  <si>
    <t>https://www.amazon.de/dp/B0DNK4G7ZS?ref=cm_sw_r_cso_cp_ud_dp_CKKM8G3Z3FRCQKV7SV7H&amp;ref_=cm_sw_r_cso_cp_ud_dp_CKKM8G3Z3FRCQKV7SV7H&amp;social_share=cm_sw_r_cso_cp_ud_dp_CKKM8G3Z3FRCQKV7SV7H&amp;previewDoh=1&amp;th=1https%3A%2F%2Fwww.amazon.de%2Fdp%2FB0DNK4G7ZS</t>
  </si>
  <si>
    <t>3,7V 6000mAh LiPo-Akku Wiederaufladbarer 1S 3C Lithium-Polymer-Akku mit Schutzplatine Isolierband aus Gummi, PH2.0 Stecker für AR duino ESP32 Entwicklungsplatine (2er Pack)</t>
  </si>
  <si>
    <t>B0DNK4G7ZS</t>
  </si>
  <si>
    <t>https://at.rs-online.com/web/p/kugelrollen/2727180</t>
  </si>
  <si>
    <t>272-7180</t>
  </si>
  <si>
    <t>Igus POM Kugelrolle</t>
  </si>
  <si>
    <t>Multiplyer</t>
  </si>
  <si>
    <t>https://www.dfrobot.com/product-1546.html</t>
  </si>
  <si>
    <t>SEN0212</t>
  </si>
  <si>
    <t>Bestell-Anzahl</t>
  </si>
  <si>
    <t>Anzahl-Platine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</si>
</sst>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[$€-2]\ #,##0.00;[Red]\-[$€-2]\ #,##0.00"/>
    <numFmt numFmtId="165" formatCode="0.0\ &quot;kg&quot;"/>
    <numFmt numFmtId="166" formatCode="#,##0.000\ &quot;€&quot;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4"/>
      <color rgb="FF111111"/>
      <name val="Arial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2" fillId="0" borderId="1" xfId="0" applyFont="1" applyBorder="1"/>
    <xf numFmtId="0" fontId="0" fillId="0" borderId="1" xfId="0" applyBorder="1"/>
    <xf numFmtId="44" fontId="0" fillId="0" borderId="0" xfId="1" applyFont="1"/>
    <xf numFmtId="44" fontId="0" fillId="0" borderId="1" xfId="1" applyFont="1" applyBorder="1"/>
    <xf numFmtId="44" fontId="2" fillId="0" borderId="0" xfId="1" applyFont="1"/>
    <xf numFmtId="0" fontId="3" fillId="0" borderId="1" xfId="2" applyBorder="1"/>
    <xf numFmtId="0" fontId="3" fillId="0" borderId="0" xfId="2" applyBorder="1"/>
    <xf numFmtId="44" fontId="0" fillId="0" borderId="0" xfId="1" applyFont="1" applyBorder="1"/>
    <xf numFmtId="164" fontId="0" fillId="0" borderId="0" xfId="0" applyNumberFormat="1"/>
    <xf numFmtId="0" fontId="2" fillId="0" borderId="0" xfId="0" applyFont="1"/>
    <xf numFmtId="0" fontId="4" fillId="0" borderId="0" xfId="0" applyFont="1" applyAlignment="1">
      <alignment vertical="center" wrapText="1"/>
    </xf>
    <xf numFmtId="0" fontId="0" fillId="0" borderId="1" xfId="1" applyNumberFormat="1" applyFont="1" applyBorder="1"/>
    <xf numFmtId="0" fontId="3" fillId="0" borderId="0" xfId="2" applyFill="1"/>
    <xf numFmtId="44" fontId="0" fillId="0" borderId="0" xfId="1" applyFont="1" applyFill="1"/>
    <xf numFmtId="2" fontId="0" fillId="0" borderId="0" xfId="1" applyNumberFormat="1" applyFont="1" applyFill="1"/>
    <xf numFmtId="0" fontId="0" fillId="0" borderId="0" xfId="1" applyNumberFormat="1" applyFont="1" applyFill="1"/>
    <xf numFmtId="165" fontId="2" fillId="0" borderId="0" xfId="1" applyNumberFormat="1" applyFont="1"/>
    <xf numFmtId="49" fontId="0" fillId="0" borderId="0" xfId="0" applyNumberFormat="1"/>
    <xf numFmtId="0" fontId="3" fillId="0" borderId="0" xfId="2"/>
    <xf numFmtId="0" fontId="0" fillId="0" borderId="0" xfId="0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2" xfId="0" applyBorder="1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7" fontId="0" fillId="0" borderId="0" xfId="1" applyNumberFormat="1" applyFont="1" applyFill="1"/>
    <xf numFmtId="49" fontId="2" fillId="0" borderId="1" xfId="0" applyNumberFormat="1" applyFont="1" applyBorder="1"/>
    <xf numFmtId="0" fontId="0" fillId="0" borderId="4" xfId="0" applyBorder="1"/>
    <xf numFmtId="166" fontId="0" fillId="0" borderId="0" xfId="0" applyNumberFormat="1"/>
    <xf numFmtId="166" fontId="2" fillId="0" borderId="1" xfId="0" applyNumberFormat="1" applyFont="1" applyBorder="1"/>
    <xf numFmtId="166" fontId="0" fillId="0" borderId="0" xfId="1" applyNumberFormat="1" applyFont="1" applyFill="1"/>
    <xf numFmtId="166" fontId="0" fillId="0" borderId="0" xfId="1" applyNumberFormat="1" applyFont="1" applyBorder="1"/>
    <xf numFmtId="1" fontId="2" fillId="0" borderId="1" xfId="0" applyNumberFormat="1" applyFont="1" applyBorder="1"/>
    <xf numFmtId="1" fontId="0" fillId="0" borderId="0" xfId="0" applyNumberFormat="1"/>
    <xf numFmtId="0" fontId="0" fillId="0" borderId="5" xfId="0" applyBorder="1"/>
    <xf numFmtId="49" fontId="0" fillId="0" borderId="5" xfId="0" applyNumberFormat="1" applyBorder="1"/>
    <xf numFmtId="1" fontId="0" fillId="0" borderId="5" xfId="0" applyNumberFormat="1" applyBorder="1"/>
    <xf numFmtId="166" fontId="0" fillId="0" borderId="5" xfId="1" applyNumberFormat="1" applyFont="1" applyBorder="1"/>
    <xf numFmtId="44" fontId="2" fillId="0" borderId="5" xfId="1" applyFont="1" applyBorder="1"/>
    <xf numFmtId="1" fontId="2" fillId="0" borderId="5" xfId="0" applyNumberFormat="1" applyFont="1" applyBorder="1"/>
    <xf numFmtId="49" fontId="0" fillId="0" borderId="4" xfId="0" applyNumberFormat="1" applyBorder="1"/>
    <xf numFmtId="7" fontId="0" fillId="0" borderId="0" xfId="0" applyNumberFormat="1"/>
  </cellXfs>
  <cellStyles count="3">
    <cellStyle name="Link" xfId="2" builtinId="8"/>
    <cellStyle name="Standard" xfId="0" builtinId="0"/>
    <cellStyle name="Währung" xfId="1" builtinId="4"/>
  </cellStyles>
  <dxfs count="10"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#,##0.00\ &quot;€&quot;;\-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#,##0.00\ &quot;€&quot;;\-#,##0.00\ &quot;€&quot;"/>
      <fill>
        <patternFill patternType="none">
          <fgColor indexed="64"/>
          <bgColor indexed="65"/>
        </patternFill>
      </fill>
    </dxf>
    <dxf>
      <numFmt numFmtId="166" formatCode="#,##0.000\ &quot;€&quot;"/>
    </dxf>
    <dxf>
      <numFmt numFmtId="166" formatCode="#,##0.000\ &quot;€&quot;"/>
    </dxf>
    <dxf>
      <numFmt numFmtId="1" formatCode="0"/>
    </dxf>
    <dxf>
      <numFmt numFmtId="1" formatCode="0"/>
    </dxf>
    <dxf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8ADBA0-DCE9-4BAA-A555-E31941987509}" name="Tabelle2" displayName="Tabelle2" ref="A1:M40" totalsRowShown="0" headerRowDxfId="9" headerRowBorderDxfId="8">
  <autoFilter ref="A1:M40" xr:uid="{328ADBA0-DCE9-4BAA-A555-E31941987509}"/>
  <sortState xmlns:xlrd2="http://schemas.microsoft.com/office/spreadsheetml/2017/richdata2" ref="A2:M40">
    <sortCondition ref="D1:D40"/>
  </sortState>
  <tableColumns count="13">
    <tableColumn id="1" xr3:uid="{6F7112D9-9F8F-447E-8DB3-4551422C3243}" name="Notiz"/>
    <tableColumn id="2" xr3:uid="{AD06557E-2315-4BAF-A733-32381D7C19FE}" name="Best."/>
    <tableColumn id="3" xr3:uid="{DA968E10-2DB0-4B69-8440-AE3AB9A7DD0B}" name="Gegenstand" dataDxfId="7"/>
    <tableColumn id="4" xr3:uid="{993C5C90-7781-4EE4-B5E8-FB769D7B563C}" name="Händler"/>
    <tableColumn id="5" xr3:uid="{4A23E096-799E-4C01-AEA2-51A78369E135}" name="Artikelnummer"/>
    <tableColumn id="6" xr3:uid="{24B045FC-F259-4697-BAD4-5DD530D114D3}" name="Link" dataCellStyle="Link"/>
    <tableColumn id="7" xr3:uid="{1F9B1928-1288-4CDF-AA71-1A91C3EBAF72}" name="Anzahl-Platine" dataDxfId="6"/>
    <tableColumn id="8" xr3:uid="{C174AF8C-99E7-47DF-AE32-FF442D391880}" name="Bestell-Anzahl" dataDxfId="5">
      <calculatedColumnFormula>Tabelle2[[#This Row],[Anzahl-Platine]]*Tabelle2[[#This Row],[Multiplyer]]</calculatedColumnFormula>
    </tableColumn>
    <tableColumn id="9" xr3:uid="{5390B0F0-83AD-4D72-B721-535815C1FC53}" name="Brutto pro VE" dataDxfId="4"/>
    <tableColumn id="10" xr3:uid="{82907F8C-F34B-45E1-B020-AFA5C3DEB23F}" name="Netto pro VE" dataDxfId="3"/>
    <tableColumn id="11" xr3:uid="{A8A6588E-5047-4DE4-AD81-90FE7A61D747}" name="Brutto ges." dataDxfId="2" dataCellStyle="Währung"/>
    <tableColumn id="12" xr3:uid="{0EE228EE-7289-42B5-AAFE-0B8D083C89F8}" name="Netto ges." dataDxfId="1" dataCellStyle="Währung"/>
    <tableColumn id="15" xr3:uid="{A41FDEE2-CD0B-4512-BD50-437478365A6C}" name="Multiplyer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mouser.at/ProductDetail/Texas-Instruments/TPS61088RHLT?qs=MiqG6Kq1qKOeAwvWtl5eUw%3D%3D" TargetMode="External"/><Relationship Id="rId18" Type="http://schemas.openxmlformats.org/officeDocument/2006/relationships/hyperlink" Target="https://at.rs-online.com/web/p/smd-induktivitat/7435052?cm_mmc=aff2-_-at-_-octopart-_-7435052-_-instock" TargetMode="External"/><Relationship Id="rId26" Type="http://schemas.openxmlformats.org/officeDocument/2006/relationships/hyperlink" Target="https://www.mouser.at/ProductDetail/KEMET/T491D477K006AT?qs=2Dzs5xnho3aulutpVLiQgg%3D%3D" TargetMode="External"/><Relationship Id="rId21" Type="http://schemas.openxmlformats.org/officeDocument/2006/relationships/hyperlink" Target="https://www.mouser.at/ProductDetail/Vishay/CRCW0805470RJNEA?qs=H9nSDuxQXAGwBTe5%2FhtcqA%3D%3D" TargetMode="External"/><Relationship Id="rId34" Type="http://schemas.openxmlformats.org/officeDocument/2006/relationships/hyperlink" Target="https://www.amazon.de/dp/B0DNK4G7ZS?ref=cm_sw_r_cso_cp_ud_dp_CKKM8G3Z3FRCQKV7SV7H&amp;ref_=cm_sw_r_cso_cp_ud_dp_CKKM8G3Z3FRCQKV7SV7H&amp;social_share=cm_sw_r_cso_cp_ud_dp_CKKM8G3Z3FRCQKV7SV7H&amp;previewDoh=1&amp;th=1https%3A%2F%2Fwww.amazon.de%2Fdp%2FB0DNK4G7ZS" TargetMode="External"/><Relationship Id="rId7" Type="http://schemas.openxmlformats.org/officeDocument/2006/relationships/hyperlink" Target="https://www.mouser.at/ProductDetail/KEMET/C0805C330J1GACTU?qs=gvFaghJzhf8QGT1ZmLc2jg%3D%3D" TargetMode="External"/><Relationship Id="rId12" Type="http://schemas.openxmlformats.org/officeDocument/2006/relationships/hyperlink" Target="https://www.mouser.at/ProductDetail/Vishay/CRCW080568R0FKEA?qs=QtIOgScU7%252BuN8q%252Byb2qbxQ%3D%3D&amp;utm_source=octopart&amp;utm_medium=aggregator&amp;utm_campaign=71-CRCW080568R0FKEA&amp;utm_content=Vishay" TargetMode="External"/><Relationship Id="rId17" Type="http://schemas.openxmlformats.org/officeDocument/2006/relationships/hyperlink" Target="https://www.mouser.at/ProductDetail/KEMET/C0805C476M9PACTU?qs=K%2Fj%2Fqf%252B0fqK83CqPLzoIkg%3D%3D" TargetMode="External"/><Relationship Id="rId25" Type="http://schemas.openxmlformats.org/officeDocument/2006/relationships/hyperlink" Target="https://www.mouser.at/ProductDetail/Texas-Instruments/TPS63070RNMT?qs=LuYMPh7GGMTfpyXCkymsfw%3D%3D" TargetMode="External"/><Relationship Id="rId33" Type="http://schemas.openxmlformats.org/officeDocument/2006/relationships/hyperlink" Target="https://www.dfrobot.com/product-2256.html" TargetMode="External"/><Relationship Id="rId38" Type="http://schemas.openxmlformats.org/officeDocument/2006/relationships/table" Target="../tables/table1.xml"/><Relationship Id="rId2" Type="http://schemas.openxmlformats.org/officeDocument/2006/relationships/hyperlink" Target="https://www.mouser.at/ProductDetail/YAGEO/RC0805FR-075K11L?qs=GWlJ5nlKA9Kjt4Lvy7ebqg%3D%3D&amp;utm_source=octopart&amp;utm_medium=aggregator&amp;utm_campaign=603-RC0805FR-075K11L&amp;utm_content=YAGEO" TargetMode="External"/><Relationship Id="rId16" Type="http://schemas.openxmlformats.org/officeDocument/2006/relationships/hyperlink" Target="https://www.mouser.at/ProductDetail/KEMET/C0805C106K8PACTU?qs=Zpyg6gQUYs39C21BeavaKA%3D%3D" TargetMode="External"/><Relationship Id="rId20" Type="http://schemas.openxmlformats.org/officeDocument/2006/relationships/hyperlink" Target="https://www.mouser.at/ProductDetail/Vishay/CRCW08052K00FKEA?qs=SM0pg8AlB3rAI09HcwFYKg%3D%3D" TargetMode="External"/><Relationship Id="rId29" Type="http://schemas.openxmlformats.org/officeDocument/2006/relationships/hyperlink" Target="https://www.mouser.at/ProductDetail/Welwyn-Components-TT-Electronics/GWCR0805-47KFT5?qs=EU6FO9ffTwddHWxqz2Mtpg%3D%3D&amp;utm_source=octopart&amp;utm_medium=aggregator&amp;utm_campaign=756-GWCR0805-47KFT5&amp;utm_content=TT+Electronics" TargetMode="External"/><Relationship Id="rId1" Type="http://schemas.openxmlformats.org/officeDocument/2006/relationships/hyperlink" Target="https://www.mouser.at/ProductDetail/Wurth-Elektronik/632723130112?qs=2WXlatMagcEknienHxbwUw%3D%3D&amp;utm_source=octopart&amp;utm_medium=aggregator&amp;utm_campaign=710-632723130112&amp;utm_content=Wurth+Elektronik" TargetMode="External"/><Relationship Id="rId6" Type="http://schemas.openxmlformats.org/officeDocument/2006/relationships/hyperlink" Target="https://www.mouser.at/ProductDetail/KEMET/C0805C751J5GACTU?qs=rT7oEelGa5ShHCGffTrjaQ%3D%3D" TargetMode="External"/><Relationship Id="rId11" Type="http://schemas.openxmlformats.org/officeDocument/2006/relationships/hyperlink" Target="https://www.mouser.at/ProductDetail/Vishay/CRCW080532K4FKEA?qs=TrAHXYCGmqxnKYcv3rjFsg%3D%3D" TargetMode="External"/><Relationship Id="rId24" Type="http://schemas.openxmlformats.org/officeDocument/2006/relationships/hyperlink" Target="https://at.farnell.com/microchip/mcp73831t-2aci-ot/li-ion-li-poly-lade-controller/dp/1332158RL?CMP=GRHB-OCTOPART" TargetMode="External"/><Relationship Id="rId32" Type="http://schemas.openxmlformats.org/officeDocument/2006/relationships/hyperlink" Target="https://www.dfrobot.com/product-1284.html" TargetMode="External"/><Relationship Id="rId37" Type="http://schemas.openxmlformats.org/officeDocument/2006/relationships/printerSettings" Target="../printerSettings/printerSettings1.bin"/><Relationship Id="rId5" Type="http://schemas.openxmlformats.org/officeDocument/2006/relationships/hyperlink" Target="https://www.mouser.at/ProductDetail/KEMET/C0805C105K5RACTU?qs=iP0bYSAMAFrBrUflcErrLQ%3D%3D&amp;utm_source=octopart&amp;utm_medium=aggregator&amp;utm_campaign=80-C0805C105K5R&amp;utm_content=KEMET" TargetMode="External"/><Relationship Id="rId15" Type="http://schemas.openxmlformats.org/officeDocument/2006/relationships/hyperlink" Target="https://www.mouser.at/ProductDetail/KEMET/C0805C226M9PACTU?qs=kHCDrmfBqSBqL0rvXoCXnA%3D%3D" TargetMode="External"/><Relationship Id="rId23" Type="http://schemas.openxmlformats.org/officeDocument/2006/relationships/hyperlink" Target="https://www.mouser.at/ProductDetail/Vishay/CRCW0805261KFKEA?qs=hdPY9BlFm%252BcjbqatmtSUGg%3D%3D&amp;utm_source=octopart&amp;utm_medium=aggregator&amp;utm_campaign=71-CRCW0805261KFKEA&amp;utm_content=Vishay" TargetMode="External"/><Relationship Id="rId28" Type="http://schemas.openxmlformats.org/officeDocument/2006/relationships/hyperlink" Target="https://www.mouser.at/ProductDetail/Samtec/TD-103-T-A?qs=%252BZP6%2F%252BtExtCGerAa8W3wfw%3D%3D&amp;utm_source=octopart&amp;utm_medium=aggregator&amp;utm_campaign=200-TD103TA&amp;utm_content=Samtec" TargetMode="External"/><Relationship Id="rId36" Type="http://schemas.openxmlformats.org/officeDocument/2006/relationships/hyperlink" Target="https://www.dfrobot.com/product-1546.html" TargetMode="External"/><Relationship Id="rId10" Type="http://schemas.openxmlformats.org/officeDocument/2006/relationships/hyperlink" Target="https://www.mouser.at/ProductDetail/STMicroelectronics/USBLC6-2P6?qs=6ARB0lp6jlViGcbUSvj1Mw%3D%3D&amp;utm_source=octopart&amp;utm_medium=aggregator&amp;utm_campaign=511-USBLC6-2P6&amp;utm_content=STMicroelectronics" TargetMode="External"/><Relationship Id="rId19" Type="http://schemas.openxmlformats.org/officeDocument/2006/relationships/hyperlink" Target="https://www.mouser.at/ProductDetail/Vishay-Dale/IHLP2525CZER1R0M01?qs=PA%252BPfIdQ8xmhiHW9qkIcng%3D%3D&amp;utm_source=octopart&amp;utm_medium=aggregator&amp;utm_campaign=70-IHLP2525CZER1R0M0&amp;utm_content=Vishay" TargetMode="External"/><Relationship Id="rId31" Type="http://schemas.openxmlformats.org/officeDocument/2006/relationships/hyperlink" Target="https://www.mouser.at/ProductDetail/STMicroelectronics/LSM6DSMTR?qs=dTJS0cRn7ogKkf7uVmbVmg%3D%3D&amp;utm_source=octopart&amp;utm_medium=aggregator&amp;utm_campaign=511-LSM6DSMTR&amp;utm_content=STMicroelectronics" TargetMode="External"/><Relationship Id="rId4" Type="http://schemas.openxmlformats.org/officeDocument/2006/relationships/hyperlink" Target="https://www.mouser.at/ProductDetail/CK/PTS636SKG25SMTR-LFS?qs=jcD%2FCkGBYeMSi9mMROgKPw%3D%3D&amp;utm_source=octopart&amp;utm_medium=aggregator&amp;utm_campaign=611-PTS636SKG25SMTRL&amp;utm_content=C" TargetMode="External"/><Relationship Id="rId9" Type="http://schemas.openxmlformats.org/officeDocument/2006/relationships/hyperlink" Target="https://www.mouser.at/ProductDetail/Broadcom-Avago/HSMS-C170?qs=YDL0qNrpDT4zTBW%2FuQbEJw%3D%3D&amp;utm_source=octopart&amp;utm_medium=aggregator&amp;utm_campaign=630-HSMS-C170&amp;utm_content=Broadcom+Limited" TargetMode="External"/><Relationship Id="rId14" Type="http://schemas.openxmlformats.org/officeDocument/2006/relationships/hyperlink" Target="https://www.mouser.at/ProductDetail/Texas-Instruments/DRV8835DSSR?qs=UFc95S4Z4CYjBOyEmbTDlA%3D%3D&amp;utm_source=octopart&amp;utm_medium=aggregator&amp;utm_campaign=595-DRV8835DSSR&amp;utm_content=Texas%20Instruments" TargetMode="External"/><Relationship Id="rId22" Type="http://schemas.openxmlformats.org/officeDocument/2006/relationships/hyperlink" Target="https://www.mouser.at/ProductDetail/Bourns/3312J-1-504E?qs=4GfDZFxiN8vwgLGeiYDClw%3D%3D&amp;utm_source=octopart&amp;utm_medium=aggregator&amp;utm_campaign=652-3312J-1-504E&amp;utm_content=Bourns" TargetMode="External"/><Relationship Id="rId27" Type="http://schemas.openxmlformats.org/officeDocument/2006/relationships/hyperlink" Target="https://at.rs-online.com/web/p/leiterplatten-header/2001481?cm_mmc=aff2-_-at-_-octopart-_-2001481-_-instock" TargetMode="External"/><Relationship Id="rId30" Type="http://schemas.openxmlformats.org/officeDocument/2006/relationships/hyperlink" Target="https://www.mouser.at/ProductDetail/Texas-Instruments/TLV76733DRVR?qs=9r4v7xj2LnmGIkwTuPlHig%3D%3D" TargetMode="External"/><Relationship Id="rId35" Type="http://schemas.openxmlformats.org/officeDocument/2006/relationships/hyperlink" Target="https://at.rs-online.com/web/p/kugelrollen/2727180" TargetMode="External"/><Relationship Id="rId8" Type="http://schemas.openxmlformats.org/officeDocument/2006/relationships/hyperlink" Target="https://www.mouser.at/ProductDetail/KYOCERA-AVX/0805PC822KAT1A?qs=jkSyaj9O%252BaLlE8R2y3eMwQ%3D%3D&amp;utm_source=octopart&amp;utm_medium=aggregator&amp;utm_campaign=581-0805PC822K&amp;utm_content=KYOCERA%20AVX" TargetMode="External"/><Relationship Id="rId3" Type="http://schemas.openxmlformats.org/officeDocument/2006/relationships/hyperlink" Target="https://www.mouser.at/ProductDetail/Panasonic/ERJ-6ENF1002V?qs=4WZYzuGhm5pfKPfuMiCO5g%3D%3D&amp;utm_source=octopart&amp;utm_medium=aggregator&amp;utm_campaign=667-ERJ-6ENF1002V&amp;utm_content=Panasonic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digikey.at/" TargetMode="External"/><Relationship Id="rId18" Type="http://schemas.openxmlformats.org/officeDocument/2006/relationships/hyperlink" Target="https://www.metzler.at/" TargetMode="External"/><Relationship Id="rId26" Type="http://schemas.openxmlformats.org/officeDocument/2006/relationships/hyperlink" Target="https://www.stasto.eu/" TargetMode="External"/><Relationship Id="rId39" Type="http://schemas.openxmlformats.org/officeDocument/2006/relationships/hyperlink" Target="https://www.cncshop.at/" TargetMode="External"/><Relationship Id="rId21" Type="http://schemas.openxmlformats.org/officeDocument/2006/relationships/hyperlink" Target="https://www.faigle.com/en" TargetMode="External"/><Relationship Id="rId34" Type="http://schemas.openxmlformats.org/officeDocument/2006/relationships/hyperlink" Target="https://www.pointner.cc/" TargetMode="External"/><Relationship Id="rId42" Type="http://schemas.openxmlformats.org/officeDocument/2006/relationships/hyperlink" Target="https://www.obi.at/" TargetMode="External"/><Relationship Id="rId7" Type="http://schemas.openxmlformats.org/officeDocument/2006/relationships/hyperlink" Target="https://www.alcom-international.de/baukastensystem.html" TargetMode="External"/><Relationship Id="rId2" Type="http://schemas.openxmlformats.org/officeDocument/2006/relationships/hyperlink" Target="https://www.fixmetall-shop.com/" TargetMode="External"/><Relationship Id="rId16" Type="http://schemas.openxmlformats.org/officeDocument/2006/relationships/hyperlink" Target="https://at.rs-online.com/web/" TargetMode="External"/><Relationship Id="rId20" Type="http://schemas.openxmlformats.org/officeDocument/2006/relationships/hyperlink" Target="https://www.plexcom.at/" TargetMode="External"/><Relationship Id="rId29" Type="http://schemas.openxmlformats.org/officeDocument/2006/relationships/hyperlink" Target="https://www.maunsystem.de/" TargetMode="External"/><Relationship Id="rId41" Type="http://schemas.openxmlformats.org/officeDocument/2006/relationships/hyperlink" Target="https://www.top-maschinen.de/" TargetMode="External"/><Relationship Id="rId1" Type="http://schemas.openxmlformats.org/officeDocument/2006/relationships/hyperlink" Target="https://www.contorion.at/" TargetMode="External"/><Relationship Id="rId6" Type="http://schemas.openxmlformats.org/officeDocument/2006/relationships/hyperlink" Target="https://www.smt-montagetechnik.de/produkte/" TargetMode="External"/><Relationship Id="rId11" Type="http://schemas.openxmlformats.org/officeDocument/2006/relationships/hyperlink" Target="https://amazon.de/" TargetMode="External"/><Relationship Id="rId24" Type="http://schemas.openxmlformats.org/officeDocument/2006/relationships/hyperlink" Target="https://www.koellensperger-stahl.at/" TargetMode="External"/><Relationship Id="rId32" Type="http://schemas.openxmlformats.org/officeDocument/2006/relationships/hyperlink" Target="https://shop.schrauben-tb.at/" TargetMode="External"/><Relationship Id="rId37" Type="http://schemas.openxmlformats.org/officeDocument/2006/relationships/hyperlink" Target="https://www.distrelec.at/" TargetMode="External"/><Relationship Id="rId40" Type="http://schemas.openxmlformats.org/officeDocument/2006/relationships/hyperlink" Target="https://www.werkzeug-profi.at/" TargetMode="External"/><Relationship Id="rId5" Type="http://schemas.openxmlformats.org/officeDocument/2006/relationships/hyperlink" Target="https://www.elesa-ganter.at/de/aut" TargetMode="External"/><Relationship Id="rId15" Type="http://schemas.openxmlformats.org/officeDocument/2006/relationships/hyperlink" Target="https://www.conrad.at/" TargetMode="External"/><Relationship Id="rId23" Type="http://schemas.openxmlformats.org/officeDocument/2006/relationships/hyperlink" Target="https://shop.ibl-raimund.de/" TargetMode="External"/><Relationship Id="rId28" Type="http://schemas.openxmlformats.org/officeDocument/2006/relationships/hyperlink" Target="https://www.s-polytec.de/" TargetMode="External"/><Relationship Id="rId36" Type="http://schemas.openxmlformats.org/officeDocument/2006/relationships/hyperlink" Target="https://de.elv.com/" TargetMode="External"/><Relationship Id="rId10" Type="http://schemas.openxmlformats.org/officeDocument/2006/relationships/hyperlink" Target="https://norelem.de/de/" TargetMode="External"/><Relationship Id="rId19" Type="http://schemas.openxmlformats.org/officeDocument/2006/relationships/hyperlink" Target="https://www.gemmel-metalle.de/" TargetMode="External"/><Relationship Id="rId31" Type="http://schemas.openxmlformats.org/officeDocument/2006/relationships/hyperlink" Target="https://www.wdscomponents.com/de" TargetMode="External"/><Relationship Id="rId4" Type="http://schemas.openxmlformats.org/officeDocument/2006/relationships/hyperlink" Target="https://www.haberkorn.com/" TargetMode="External"/><Relationship Id="rId9" Type="http://schemas.openxmlformats.org/officeDocument/2006/relationships/hyperlink" Target="https://www.kugellager-express.de/" TargetMode="External"/><Relationship Id="rId14" Type="http://schemas.openxmlformats.org/officeDocument/2006/relationships/hyperlink" Target="https://www.reichelt.at/" TargetMode="External"/><Relationship Id="rId22" Type="http://schemas.openxmlformats.org/officeDocument/2006/relationships/hyperlink" Target="https://metall-fachhandel.de/" TargetMode="External"/><Relationship Id="rId27" Type="http://schemas.openxmlformats.org/officeDocument/2006/relationships/hyperlink" Target="https://eshop.wuerth.at/de/DE/EUR/" TargetMode="External"/><Relationship Id="rId30" Type="http://schemas.openxmlformats.org/officeDocument/2006/relationships/hyperlink" Target="https://eu.robotshop.com/de" TargetMode="External"/><Relationship Id="rId35" Type="http://schemas.openxmlformats.org/officeDocument/2006/relationships/hyperlink" Target="https://eckstein-shop.de/Startseite" TargetMode="External"/><Relationship Id="rId43" Type="http://schemas.openxmlformats.org/officeDocument/2006/relationships/hyperlink" Target="https://www.bauhaus.at/" TargetMode="External"/><Relationship Id="rId8" Type="http://schemas.openxmlformats.org/officeDocument/2006/relationships/hyperlink" Target="https://www.eurocircuits.com/" TargetMode="External"/><Relationship Id="rId3" Type="http://schemas.openxmlformats.org/officeDocument/2006/relationships/hyperlink" Target="https://www.mouser.at/" TargetMode="External"/><Relationship Id="rId12" Type="http://schemas.openxmlformats.org/officeDocument/2006/relationships/hyperlink" Target="https://de.misumi-ec.com/" TargetMode="External"/><Relationship Id="rId17" Type="http://schemas.openxmlformats.org/officeDocument/2006/relationships/hyperlink" Target="https://www.hoffmann-group.com/AT/de/hoa/" TargetMode="External"/><Relationship Id="rId25" Type="http://schemas.openxmlformats.org/officeDocument/2006/relationships/hyperlink" Target="https://www.ragg-stahlhandel.com/" TargetMode="External"/><Relationship Id="rId33" Type="http://schemas.openxmlformats.org/officeDocument/2006/relationships/hyperlink" Target="https://www.funkenflug.co.at/" TargetMode="External"/><Relationship Id="rId38" Type="http://schemas.openxmlformats.org/officeDocument/2006/relationships/hyperlink" Target="https://www.dold-mechatronik.de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Relationship Id="rId2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Relationship Id="rId1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M49"/>
  <sheetViews>
    <sheetView tabSelected="1" zoomScale="85" zoomScaleNormal="85" workbookViewId="0">
      <selection activeCell="M41" sqref="M41"/>
    </sheetView>
  </sheetViews>
  <sheetFormatPr baseColWidth="10" defaultColWidth="11.4609375" defaultRowHeight="14.6" x14ac:dyDescent="0.4"/>
  <cols>
    <col min="2" max="2" width="7.69140625" bestFit="1" customWidth="1"/>
    <col min="3" max="3" width="28.3046875" style="18" customWidth="1"/>
    <col min="4" max="4" width="14.07421875" bestFit="1" customWidth="1"/>
    <col min="5" max="5" width="17" customWidth="1"/>
    <col min="6" max="6" width="28" customWidth="1"/>
    <col min="7" max="7" width="16.4609375" style="33" bestFit="1" customWidth="1"/>
    <col min="8" max="8" width="16.07421875" style="33" bestFit="1" customWidth="1"/>
    <col min="9" max="9" width="15.07421875" style="28" customWidth="1"/>
    <col min="10" max="10" width="14.53515625" style="28" bestFit="1" customWidth="1"/>
    <col min="11" max="11" width="21.84375" customWidth="1"/>
    <col min="12" max="12" width="12.4609375" bestFit="1" customWidth="1"/>
    <col min="13" max="13" width="12.84375" style="33" bestFit="1" customWidth="1"/>
  </cols>
  <sheetData>
    <row r="1" spans="1:13" x14ac:dyDescent="0.4">
      <c r="A1" s="1" t="s">
        <v>13</v>
      </c>
      <c r="B1" s="1" t="s">
        <v>0</v>
      </c>
      <c r="C1" s="26" t="s">
        <v>1</v>
      </c>
      <c r="D1" s="1" t="s">
        <v>2</v>
      </c>
      <c r="E1" s="1" t="s">
        <v>3</v>
      </c>
      <c r="F1" s="1" t="s">
        <v>4</v>
      </c>
      <c r="G1" s="32" t="s">
        <v>292</v>
      </c>
      <c r="H1" s="32" t="s">
        <v>291</v>
      </c>
      <c r="I1" s="29" t="s">
        <v>7</v>
      </c>
      <c r="J1" s="29" t="s">
        <v>8</v>
      </c>
      <c r="K1" s="1" t="s">
        <v>9</v>
      </c>
      <c r="L1" s="1" t="s">
        <v>10</v>
      </c>
      <c r="M1" s="32" t="s">
        <v>288</v>
      </c>
    </row>
    <row r="2" spans="1:13" x14ac:dyDescent="0.4">
      <c r="B2" t="s">
        <v>179</v>
      </c>
      <c r="C2" s="18" t="s">
        <v>283</v>
      </c>
      <c r="D2" t="s">
        <v>24</v>
      </c>
      <c r="E2" t="s">
        <v>284</v>
      </c>
      <c r="F2" s="19" t="s">
        <v>282</v>
      </c>
      <c r="G2" s="33">
        <v>1</v>
      </c>
      <c r="H2" s="33">
        <f>Tabelle2[[#This Row],[Anzahl-Platine]]*Tabelle2[[#This Row],[Multiplyer]]</f>
        <v>1</v>
      </c>
      <c r="I2" s="28">
        <v>34.270000000000003</v>
      </c>
      <c r="J2" s="28">
        <f>I2/1.2</f>
        <v>28.558333333333337</v>
      </c>
      <c r="K2" s="25">
        <f>Tabelle2[[#This Row],[Bestell-Anzahl]]*Tabelle2[[#This Row],[Brutto pro VE]]</f>
        <v>34.270000000000003</v>
      </c>
      <c r="L2" s="25">
        <f t="shared" ref="L2:L39" si="0">K2/1.2</f>
        <v>28.558333333333337</v>
      </c>
      <c r="M2" s="33">
        <v>1</v>
      </c>
    </row>
    <row r="3" spans="1:13" x14ac:dyDescent="0.4">
      <c r="B3" t="s">
        <v>179</v>
      </c>
      <c r="C3" s="18" t="s">
        <v>275</v>
      </c>
      <c r="D3" t="s">
        <v>276</v>
      </c>
      <c r="E3" s="18" t="s">
        <v>275</v>
      </c>
      <c r="F3" s="19" t="s">
        <v>277</v>
      </c>
      <c r="G3" s="33">
        <v>2</v>
      </c>
      <c r="H3" s="33">
        <f>Tabelle2[[#This Row],[Anzahl-Platine]]*Tabelle2[[#This Row],[Multiplyer]]</f>
        <v>2</v>
      </c>
      <c r="I3" s="28">
        <v>10.41</v>
      </c>
      <c r="J3" s="28">
        <f t="shared" ref="J2:J39" si="1">I3/1.2</f>
        <v>8.6750000000000007</v>
      </c>
      <c r="K3" s="25">
        <f>Tabelle2[[#This Row],[Bestell-Anzahl]]*Tabelle2[[#This Row],[Brutto pro VE]]</f>
        <v>20.82</v>
      </c>
      <c r="L3" s="25">
        <f t="shared" si="0"/>
        <v>17.350000000000001</v>
      </c>
      <c r="M3" s="33">
        <v>1</v>
      </c>
    </row>
    <row r="4" spans="1:13" x14ac:dyDescent="0.4">
      <c r="B4" t="s">
        <v>179</v>
      </c>
      <c r="C4" s="18" t="s">
        <v>279</v>
      </c>
      <c r="D4" t="s">
        <v>276</v>
      </c>
      <c r="E4" t="s">
        <v>279</v>
      </c>
      <c r="F4" s="19" t="s">
        <v>278</v>
      </c>
      <c r="G4" s="33">
        <v>1</v>
      </c>
      <c r="H4" s="33">
        <f>Tabelle2[[#This Row],[Anzahl-Platine]]*Tabelle2[[#This Row],[Multiplyer]]</f>
        <v>1</v>
      </c>
      <c r="I4" s="28">
        <v>6.04</v>
      </c>
      <c r="J4" s="28">
        <f t="shared" si="1"/>
        <v>5.0333333333333332</v>
      </c>
      <c r="K4" s="25">
        <f>Tabelle2[[#This Row],[Bestell-Anzahl]]*Tabelle2[[#This Row],[Brutto pro VE]]</f>
        <v>6.04</v>
      </c>
      <c r="L4" s="25">
        <f t="shared" si="0"/>
        <v>5.0333333333333332</v>
      </c>
      <c r="M4" s="33">
        <v>1</v>
      </c>
    </row>
    <row r="5" spans="1:13" x14ac:dyDescent="0.4">
      <c r="B5" t="s">
        <v>179</v>
      </c>
      <c r="C5" s="18" t="s">
        <v>281</v>
      </c>
      <c r="D5" t="s">
        <v>276</v>
      </c>
      <c r="E5" t="s">
        <v>281</v>
      </c>
      <c r="F5" s="19" t="s">
        <v>280</v>
      </c>
      <c r="G5" s="33">
        <v>1</v>
      </c>
      <c r="H5" s="33">
        <f>Tabelle2[[#This Row],[Anzahl-Platine]]*Tabelle2[[#This Row],[Multiplyer]]</f>
        <v>2</v>
      </c>
      <c r="I5" s="28">
        <v>7.79</v>
      </c>
      <c r="J5" s="28">
        <f t="shared" si="1"/>
        <v>6.4916666666666671</v>
      </c>
      <c r="K5" s="25">
        <f>Tabelle2[[#This Row],[Bestell-Anzahl]]*Tabelle2[[#This Row],[Brutto pro VE]]</f>
        <v>15.58</v>
      </c>
      <c r="L5" s="25">
        <f t="shared" si="0"/>
        <v>12.983333333333334</v>
      </c>
      <c r="M5" s="33">
        <v>2</v>
      </c>
    </row>
    <row r="6" spans="1:13" x14ac:dyDescent="0.4">
      <c r="B6" t="s">
        <v>179</v>
      </c>
      <c r="C6" s="18" t="s">
        <v>290</v>
      </c>
      <c r="D6" t="s">
        <v>276</v>
      </c>
      <c r="E6" t="s">
        <v>290</v>
      </c>
      <c r="F6" s="19" t="s">
        <v>289</v>
      </c>
      <c r="G6" s="33">
        <v>1</v>
      </c>
      <c r="H6" s="33">
        <f>Tabelle2[[#This Row],[Anzahl-Platine]]*Tabelle2[[#This Row],[Multiplyer]]</f>
        <v>1</v>
      </c>
      <c r="I6" s="28">
        <v>6.91</v>
      </c>
      <c r="J6" s="28">
        <f t="shared" si="1"/>
        <v>5.7583333333333337</v>
      </c>
      <c r="K6" s="25">
        <f>Tabelle2[[#This Row],[Bestell-Anzahl]]*Tabelle2[[#This Row],[Brutto pro VE]]</f>
        <v>6.91</v>
      </c>
      <c r="L6" s="25">
        <f t="shared" si="0"/>
        <v>5.7583333333333337</v>
      </c>
      <c r="M6" s="33">
        <v>1</v>
      </c>
    </row>
    <row r="7" spans="1:13" x14ac:dyDescent="0.4">
      <c r="B7" t="s">
        <v>179</v>
      </c>
      <c r="C7" t="s">
        <v>252</v>
      </c>
      <c r="D7" t="s">
        <v>178</v>
      </c>
      <c r="E7">
        <v>1332158</v>
      </c>
      <c r="F7" s="19" t="s">
        <v>253</v>
      </c>
      <c r="G7" s="33">
        <v>1</v>
      </c>
      <c r="H7" s="33">
        <f>Tabelle2[[#This Row],[Anzahl-Platine]]*Tabelle2[[#This Row],[Multiplyer]]</f>
        <v>1</v>
      </c>
      <c r="I7" s="28">
        <v>0.754</v>
      </c>
      <c r="J7" s="30">
        <f t="shared" si="1"/>
        <v>0.62833333333333341</v>
      </c>
      <c r="K7" s="25">
        <f>Tabelle2[[#This Row],[Bestell-Anzahl]]*Tabelle2[[#This Row],[Brutto pro VE]]</f>
        <v>0.754</v>
      </c>
      <c r="L7" s="25">
        <f t="shared" si="0"/>
        <v>0.62833333333333341</v>
      </c>
      <c r="M7" s="33">
        <v>1</v>
      </c>
    </row>
    <row r="8" spans="1:13" x14ac:dyDescent="0.4">
      <c r="B8" t="s">
        <v>179</v>
      </c>
      <c r="C8" s="18" t="s">
        <v>180</v>
      </c>
      <c r="D8" t="s">
        <v>98</v>
      </c>
      <c r="E8" s="18" t="s">
        <v>181</v>
      </c>
      <c r="F8" s="13" t="s">
        <v>182</v>
      </c>
      <c r="G8" s="33">
        <v>1</v>
      </c>
      <c r="H8" s="33">
        <f>Tabelle2[[#This Row],[Anzahl-Platine]]*Tabelle2[[#This Row],[Multiplyer]]</f>
        <v>2</v>
      </c>
      <c r="I8" s="30">
        <v>6.54</v>
      </c>
      <c r="J8" s="30">
        <f t="shared" si="1"/>
        <v>5.45</v>
      </c>
      <c r="K8" s="25">
        <f>Tabelle2[[#This Row],[Bestell-Anzahl]]*Tabelle2[[#This Row],[Brutto pro VE]]</f>
        <v>13.08</v>
      </c>
      <c r="L8" s="25">
        <f t="shared" si="0"/>
        <v>10.9</v>
      </c>
      <c r="M8" s="33">
        <v>2</v>
      </c>
    </row>
    <row r="9" spans="1:13" x14ac:dyDescent="0.4">
      <c r="B9" t="s">
        <v>179</v>
      </c>
      <c r="C9" s="18" t="s">
        <v>183</v>
      </c>
      <c r="D9" t="s">
        <v>98</v>
      </c>
      <c r="E9" t="s">
        <v>184</v>
      </c>
      <c r="F9" s="19" t="s">
        <v>185</v>
      </c>
      <c r="G9" s="33">
        <v>1</v>
      </c>
      <c r="H9" s="33">
        <f>Tabelle2[[#This Row],[Anzahl-Platine]]*Tabelle2[[#This Row],[Multiplyer]]</f>
        <v>3</v>
      </c>
      <c r="I9" s="28">
        <v>4.1500000000000004</v>
      </c>
      <c r="J9" s="30">
        <f t="shared" si="1"/>
        <v>3.4583333333333339</v>
      </c>
      <c r="K9" s="25">
        <f>Tabelle2[[#This Row],[Bestell-Anzahl]]*Tabelle2[[#This Row],[Brutto pro VE]]</f>
        <v>12.450000000000001</v>
      </c>
      <c r="L9" s="25">
        <f t="shared" si="0"/>
        <v>10.375000000000002</v>
      </c>
      <c r="M9" s="33">
        <v>3</v>
      </c>
    </row>
    <row r="10" spans="1:13" ht="15" customHeight="1" x14ac:dyDescent="0.4">
      <c r="B10" t="s">
        <v>179</v>
      </c>
      <c r="C10" s="40" t="s">
        <v>186</v>
      </c>
      <c r="D10" t="s">
        <v>98</v>
      </c>
      <c r="E10" t="s">
        <v>187</v>
      </c>
      <c r="F10" s="19" t="s">
        <v>188</v>
      </c>
      <c r="G10" s="33">
        <v>1</v>
      </c>
      <c r="H10" s="33">
        <f>Tabelle2[[#This Row],[Anzahl-Platine]]*Tabelle2[[#This Row],[Multiplyer]]</f>
        <v>3</v>
      </c>
      <c r="I10" s="28">
        <v>9.5000000000000001E-2</v>
      </c>
      <c r="J10" s="30">
        <f t="shared" si="1"/>
        <v>7.9166666666666677E-2</v>
      </c>
      <c r="K10" s="25">
        <f>Tabelle2[[#This Row],[Bestell-Anzahl]]*Tabelle2[[#This Row],[Brutto pro VE]]</f>
        <v>0.28500000000000003</v>
      </c>
      <c r="L10" s="25">
        <f t="shared" si="0"/>
        <v>0.23750000000000004</v>
      </c>
      <c r="M10" s="33">
        <v>3</v>
      </c>
    </row>
    <row r="11" spans="1:13" x14ac:dyDescent="0.4">
      <c r="B11" t="s">
        <v>179</v>
      </c>
      <c r="C11" t="s">
        <v>189</v>
      </c>
      <c r="D11" t="s">
        <v>98</v>
      </c>
      <c r="E11" t="s">
        <v>190</v>
      </c>
      <c r="F11" s="19" t="s">
        <v>191</v>
      </c>
      <c r="G11" s="33">
        <v>3</v>
      </c>
      <c r="H11" s="33">
        <f>Tabelle2[[#This Row],[Anzahl-Platine]]*Tabelle2[[#This Row],[Multiplyer]]</f>
        <v>9</v>
      </c>
      <c r="I11" s="28">
        <v>0.114</v>
      </c>
      <c r="J11" s="30">
        <f t="shared" si="1"/>
        <v>9.5000000000000001E-2</v>
      </c>
      <c r="K11" s="25">
        <f>Tabelle2[[#This Row],[Bestell-Anzahl]]*Tabelle2[[#This Row],[Brutto pro VE]]</f>
        <v>1.026</v>
      </c>
      <c r="L11" s="25">
        <f t="shared" si="0"/>
        <v>0.85500000000000009</v>
      </c>
      <c r="M11" s="33">
        <v>3</v>
      </c>
    </row>
    <row r="12" spans="1:13" x14ac:dyDescent="0.4">
      <c r="B12" t="s">
        <v>179</v>
      </c>
      <c r="C12" s="27" t="s">
        <v>192</v>
      </c>
      <c r="D12" t="s">
        <v>98</v>
      </c>
      <c r="E12" t="s">
        <v>193</v>
      </c>
      <c r="F12" s="19" t="s">
        <v>194</v>
      </c>
      <c r="G12" s="33">
        <v>3</v>
      </c>
      <c r="H12" s="33">
        <f>Tabelle2[[#This Row],[Anzahl-Platine]]*Tabelle2[[#This Row],[Multiplyer]]</f>
        <v>9</v>
      </c>
      <c r="I12" s="28">
        <v>0.22800000000000001</v>
      </c>
      <c r="J12" s="30">
        <f t="shared" si="1"/>
        <v>0.19</v>
      </c>
      <c r="K12" s="25">
        <f>Tabelle2[[#This Row],[Bestell-Anzahl]]*Tabelle2[[#This Row],[Brutto pro VE]]</f>
        <v>2.052</v>
      </c>
      <c r="L12" s="25">
        <f t="shared" si="0"/>
        <v>1.7100000000000002</v>
      </c>
      <c r="M12" s="33">
        <v>3</v>
      </c>
    </row>
    <row r="13" spans="1:13" x14ac:dyDescent="0.4">
      <c r="B13" t="s">
        <v>179</v>
      </c>
      <c r="C13" t="s">
        <v>195</v>
      </c>
      <c r="D13" t="s">
        <v>98</v>
      </c>
      <c r="E13" t="s">
        <v>196</v>
      </c>
      <c r="F13" s="19" t="s">
        <v>197</v>
      </c>
      <c r="G13" s="33">
        <v>2</v>
      </c>
      <c r="H13" s="33">
        <f>Tabelle2[[#This Row],[Anzahl-Platine]]*Tabelle2[[#This Row],[Multiplyer]]</f>
        <v>6</v>
      </c>
      <c r="I13" s="28">
        <v>0.29499999999999998</v>
      </c>
      <c r="J13" s="30">
        <f t="shared" si="1"/>
        <v>0.24583333333333332</v>
      </c>
      <c r="K13" s="25">
        <f>Tabelle2[[#This Row],[Bestell-Anzahl]]*Tabelle2[[#This Row],[Brutto pro VE]]</f>
        <v>1.77</v>
      </c>
      <c r="L13" s="25">
        <f t="shared" si="0"/>
        <v>1.4750000000000001</v>
      </c>
      <c r="M13" s="33">
        <v>3</v>
      </c>
    </row>
    <row r="14" spans="1:13" x14ac:dyDescent="0.4">
      <c r="B14" t="s">
        <v>179</v>
      </c>
      <c r="C14" s="27" t="s">
        <v>198</v>
      </c>
      <c r="D14" t="s">
        <v>98</v>
      </c>
      <c r="E14" t="s">
        <v>199</v>
      </c>
      <c r="F14" s="19" t="s">
        <v>200</v>
      </c>
      <c r="G14" s="33">
        <v>1</v>
      </c>
      <c r="H14" s="33">
        <f>Tabelle2[[#This Row],[Anzahl-Platine]]*Tabelle2[[#This Row],[Multiplyer]]</f>
        <v>3</v>
      </c>
      <c r="I14" s="28">
        <v>0.30399999999999999</v>
      </c>
      <c r="J14" s="30">
        <f t="shared" si="1"/>
        <v>0.25333333333333335</v>
      </c>
      <c r="K14" s="25">
        <f>Tabelle2[[#This Row],[Bestell-Anzahl]]*Tabelle2[[#This Row],[Brutto pro VE]]</f>
        <v>0.91199999999999992</v>
      </c>
      <c r="L14" s="25">
        <f t="shared" si="0"/>
        <v>0.76</v>
      </c>
      <c r="M14" s="33">
        <v>3</v>
      </c>
    </row>
    <row r="15" spans="1:13" x14ac:dyDescent="0.4">
      <c r="B15" t="s">
        <v>179</v>
      </c>
      <c r="C15" s="18" t="s">
        <v>201</v>
      </c>
      <c r="D15" t="s">
        <v>98</v>
      </c>
      <c r="E15" t="s">
        <v>202</v>
      </c>
      <c r="F15" s="19" t="s">
        <v>203</v>
      </c>
      <c r="G15" s="33">
        <v>1</v>
      </c>
      <c r="H15" s="33">
        <f>Tabelle2[[#This Row],[Anzahl-Platine]]*Tabelle2[[#This Row],[Multiplyer]]</f>
        <v>3</v>
      </c>
      <c r="I15" s="28">
        <v>9.5000000000000001E-2</v>
      </c>
      <c r="J15" s="30">
        <f t="shared" si="1"/>
        <v>7.9166666666666677E-2</v>
      </c>
      <c r="K15" s="25">
        <f>Tabelle2[[#This Row],[Bestell-Anzahl]]*Tabelle2[[#This Row],[Brutto pro VE]]</f>
        <v>0.28500000000000003</v>
      </c>
      <c r="L15" s="25">
        <f t="shared" si="0"/>
        <v>0.23750000000000004</v>
      </c>
      <c r="M15" s="33">
        <v>3</v>
      </c>
    </row>
    <row r="16" spans="1:13" x14ac:dyDescent="0.4">
      <c r="B16" t="s">
        <v>179</v>
      </c>
      <c r="C16" s="27" t="s">
        <v>204</v>
      </c>
      <c r="D16" t="s">
        <v>98</v>
      </c>
      <c r="E16" t="s">
        <v>205</v>
      </c>
      <c r="F16" s="19" t="s">
        <v>206</v>
      </c>
      <c r="G16" s="33">
        <v>1</v>
      </c>
      <c r="H16" s="33">
        <f>Tabelle2[[#This Row],[Anzahl-Platine]]*Tabelle2[[#This Row],[Multiplyer]]</f>
        <v>3</v>
      </c>
      <c r="I16" s="28">
        <v>0.39</v>
      </c>
      <c r="J16" s="30">
        <f t="shared" si="1"/>
        <v>0.32500000000000001</v>
      </c>
      <c r="K16" s="25">
        <f>Tabelle2[[#This Row],[Bestell-Anzahl]]*Tabelle2[[#This Row],[Brutto pro VE]]</f>
        <v>1.17</v>
      </c>
      <c r="L16" s="25">
        <f t="shared" si="0"/>
        <v>0.97499999999999998</v>
      </c>
      <c r="M16" s="33">
        <v>3</v>
      </c>
    </row>
    <row r="17" spans="2:13" x14ac:dyDescent="0.4">
      <c r="B17" t="s">
        <v>179</v>
      </c>
      <c r="C17" t="s">
        <v>207</v>
      </c>
      <c r="D17" t="s">
        <v>98</v>
      </c>
      <c r="E17" t="s">
        <v>208</v>
      </c>
      <c r="F17" s="19" t="s">
        <v>209</v>
      </c>
      <c r="G17" s="33">
        <v>2</v>
      </c>
      <c r="H17" s="33">
        <f>Tabelle2[[#This Row],[Anzahl-Platine]]*Tabelle2[[#This Row],[Multiplyer]]</f>
        <v>6</v>
      </c>
      <c r="I17" s="28">
        <v>0.28499999999999998</v>
      </c>
      <c r="J17" s="30">
        <f t="shared" si="1"/>
        <v>0.23749999999999999</v>
      </c>
      <c r="K17" s="25">
        <f>Tabelle2[[#This Row],[Bestell-Anzahl]]*Tabelle2[[#This Row],[Brutto pro VE]]</f>
        <v>1.71</v>
      </c>
      <c r="L17" s="25">
        <f t="shared" si="0"/>
        <v>1.425</v>
      </c>
      <c r="M17" s="33">
        <v>3</v>
      </c>
    </row>
    <row r="18" spans="2:13" x14ac:dyDescent="0.4">
      <c r="B18" t="s">
        <v>179</v>
      </c>
      <c r="C18" s="27" t="s">
        <v>210</v>
      </c>
      <c r="D18" t="s">
        <v>98</v>
      </c>
      <c r="E18" t="s">
        <v>211</v>
      </c>
      <c r="F18" s="7" t="s">
        <v>212</v>
      </c>
      <c r="G18" s="33">
        <v>1</v>
      </c>
      <c r="H18" s="33">
        <f>Tabelle2[[#This Row],[Anzahl-Platine]]*Tabelle2[[#This Row],[Multiplyer]]</f>
        <v>3</v>
      </c>
      <c r="I18" s="31">
        <v>0.41799999999999998</v>
      </c>
      <c r="J18" s="30">
        <f t="shared" si="1"/>
        <v>0.34833333333333333</v>
      </c>
      <c r="K18" s="25">
        <f>Tabelle2[[#This Row],[Bestell-Anzahl]]*Tabelle2[[#This Row],[Brutto pro VE]]</f>
        <v>1.254</v>
      </c>
      <c r="L18" s="25">
        <f t="shared" si="0"/>
        <v>1.0450000000000002</v>
      </c>
      <c r="M18" s="33">
        <v>3</v>
      </c>
    </row>
    <row r="19" spans="2:13" x14ac:dyDescent="0.4">
      <c r="B19" t="s">
        <v>179</v>
      </c>
      <c r="C19" t="s">
        <v>213</v>
      </c>
      <c r="D19" t="s">
        <v>98</v>
      </c>
      <c r="E19" t="s">
        <v>214</v>
      </c>
      <c r="F19" s="19" t="s">
        <v>215</v>
      </c>
      <c r="G19" s="33">
        <v>1</v>
      </c>
      <c r="H19" s="33">
        <f>Tabelle2[[#This Row],[Anzahl-Platine]]*Tabelle2[[#This Row],[Multiplyer]]</f>
        <v>3</v>
      </c>
      <c r="I19" s="28">
        <v>9.5000000000000001E-2</v>
      </c>
      <c r="J19" s="30">
        <f t="shared" si="1"/>
        <v>7.9166666666666677E-2</v>
      </c>
      <c r="K19" s="25">
        <f>Tabelle2[[#This Row],[Bestell-Anzahl]]*Tabelle2[[#This Row],[Brutto pro VE]]</f>
        <v>0.28500000000000003</v>
      </c>
      <c r="L19" s="25">
        <f t="shared" si="0"/>
        <v>0.23750000000000004</v>
      </c>
      <c r="M19" s="33">
        <v>3</v>
      </c>
    </row>
    <row r="20" spans="2:13" x14ac:dyDescent="0.4">
      <c r="B20" t="s">
        <v>179</v>
      </c>
      <c r="C20" s="27" t="s">
        <v>216</v>
      </c>
      <c r="D20" t="s">
        <v>98</v>
      </c>
      <c r="E20" t="s">
        <v>217</v>
      </c>
      <c r="F20" s="7" t="s">
        <v>218</v>
      </c>
      <c r="G20" s="33">
        <v>1</v>
      </c>
      <c r="H20" s="33">
        <f>Tabelle2[[#This Row],[Anzahl-Platine]]*Tabelle2[[#This Row],[Multiplyer]]</f>
        <v>3</v>
      </c>
      <c r="I20" s="28">
        <v>9.5000000000000001E-2</v>
      </c>
      <c r="J20" s="30">
        <f t="shared" si="1"/>
        <v>7.9166666666666677E-2</v>
      </c>
      <c r="K20" s="25">
        <f>Tabelle2[[#This Row],[Bestell-Anzahl]]*Tabelle2[[#This Row],[Brutto pro VE]]</f>
        <v>0.28500000000000003</v>
      </c>
      <c r="L20" s="25">
        <f t="shared" si="0"/>
        <v>0.23750000000000004</v>
      </c>
      <c r="M20" s="33">
        <v>3</v>
      </c>
    </row>
    <row r="21" spans="2:13" x14ac:dyDescent="0.4">
      <c r="B21" t="s">
        <v>179</v>
      </c>
      <c r="C21" t="s">
        <v>219</v>
      </c>
      <c r="D21" t="s">
        <v>98</v>
      </c>
      <c r="E21" t="s">
        <v>220</v>
      </c>
      <c r="F21" s="19" t="s">
        <v>221</v>
      </c>
      <c r="G21" s="33">
        <v>1</v>
      </c>
      <c r="H21" s="33">
        <f>Tabelle2[[#This Row],[Anzahl-Platine]]*Tabelle2[[#This Row],[Multiplyer]]</f>
        <v>3</v>
      </c>
      <c r="I21" s="28">
        <v>4.95</v>
      </c>
      <c r="J21" s="30">
        <f t="shared" si="1"/>
        <v>4.125</v>
      </c>
      <c r="K21" s="25">
        <f>Tabelle2[[#This Row],[Bestell-Anzahl]]*Tabelle2[[#This Row],[Brutto pro VE]]</f>
        <v>14.850000000000001</v>
      </c>
      <c r="L21" s="25">
        <f t="shared" si="0"/>
        <v>12.375000000000002</v>
      </c>
      <c r="M21" s="33">
        <v>3</v>
      </c>
    </row>
    <row r="22" spans="2:13" x14ac:dyDescent="0.4">
      <c r="B22" t="s">
        <v>179</v>
      </c>
      <c r="C22" s="27" t="s">
        <v>222</v>
      </c>
      <c r="D22" t="s">
        <v>98</v>
      </c>
      <c r="E22" t="s">
        <v>223</v>
      </c>
      <c r="F22" s="19" t="s">
        <v>224</v>
      </c>
      <c r="G22" s="33">
        <v>1</v>
      </c>
      <c r="H22" s="33">
        <f>Tabelle2[[#This Row],[Anzahl-Platine]]*Tabelle2[[#This Row],[Multiplyer]]</f>
        <v>3</v>
      </c>
      <c r="I22" s="28">
        <v>1.1499999999999999</v>
      </c>
      <c r="J22" s="30">
        <f t="shared" si="1"/>
        <v>0.95833333333333326</v>
      </c>
      <c r="K22" s="25">
        <f>Tabelle2[[#This Row],[Bestell-Anzahl]]*Tabelle2[[#This Row],[Brutto pro VE]]</f>
        <v>3.4499999999999997</v>
      </c>
      <c r="L22" s="25">
        <f t="shared" si="0"/>
        <v>2.875</v>
      </c>
      <c r="M22" s="33">
        <v>3</v>
      </c>
    </row>
    <row r="23" spans="2:13" x14ac:dyDescent="0.4">
      <c r="B23" t="s">
        <v>179</v>
      </c>
      <c r="C23" t="s">
        <v>225</v>
      </c>
      <c r="D23" t="s">
        <v>98</v>
      </c>
      <c r="E23" t="s">
        <v>226</v>
      </c>
      <c r="F23" s="19" t="s">
        <v>227</v>
      </c>
      <c r="G23" s="33">
        <v>3</v>
      </c>
      <c r="H23" s="33">
        <f>Tabelle2[[#This Row],[Anzahl-Platine]]*Tabelle2[[#This Row],[Multiplyer]]</f>
        <v>9</v>
      </c>
      <c r="I23" s="28">
        <v>0.2</v>
      </c>
      <c r="J23" s="30">
        <f t="shared" si="1"/>
        <v>0.16666666666666669</v>
      </c>
      <c r="K23" s="25">
        <f>Tabelle2[[#This Row],[Bestell-Anzahl]]*Tabelle2[[#This Row],[Brutto pro VE]]</f>
        <v>1.8</v>
      </c>
      <c r="L23" s="25">
        <f t="shared" si="0"/>
        <v>1.5</v>
      </c>
      <c r="M23" s="33">
        <v>3</v>
      </c>
    </row>
    <row r="24" spans="2:13" x14ac:dyDescent="0.4">
      <c r="B24" t="s">
        <v>179</v>
      </c>
      <c r="C24" s="27" t="s">
        <v>228</v>
      </c>
      <c r="D24" t="s">
        <v>98</v>
      </c>
      <c r="E24" t="s">
        <v>229</v>
      </c>
      <c r="F24" s="19" t="s">
        <v>230</v>
      </c>
      <c r="G24" s="33">
        <v>4</v>
      </c>
      <c r="H24" s="33">
        <f>Tabelle2[[#This Row],[Anzahl-Platine]]*Tabelle2[[#This Row],[Multiplyer]]</f>
        <v>12</v>
      </c>
      <c r="I24" s="28">
        <v>0.124</v>
      </c>
      <c r="J24" s="30">
        <f t="shared" si="1"/>
        <v>0.10333333333333333</v>
      </c>
      <c r="K24" s="25">
        <f>Tabelle2[[#This Row],[Bestell-Anzahl]]*Tabelle2[[#This Row],[Brutto pro VE]]</f>
        <v>1.488</v>
      </c>
      <c r="L24" s="25">
        <f t="shared" si="0"/>
        <v>1.24</v>
      </c>
      <c r="M24" s="33">
        <v>3</v>
      </c>
    </row>
    <row r="25" spans="2:13" x14ac:dyDescent="0.4">
      <c r="B25" t="s">
        <v>179</v>
      </c>
      <c r="C25" t="s">
        <v>231</v>
      </c>
      <c r="D25" t="s">
        <v>98</v>
      </c>
      <c r="E25" t="s">
        <v>232</v>
      </c>
      <c r="F25" s="19" t="s">
        <v>233</v>
      </c>
      <c r="G25" s="33">
        <v>3</v>
      </c>
      <c r="H25" s="33">
        <f>Tabelle2[[#This Row],[Anzahl-Platine]]*Tabelle2[[#This Row],[Multiplyer]]</f>
        <v>9</v>
      </c>
      <c r="I25" s="28">
        <v>0.83599999999999997</v>
      </c>
      <c r="J25" s="30">
        <f t="shared" si="1"/>
        <v>0.69666666666666666</v>
      </c>
      <c r="K25" s="25">
        <f>Tabelle2[[#This Row],[Bestell-Anzahl]]*Tabelle2[[#This Row],[Brutto pro VE]]</f>
        <v>7.524</v>
      </c>
      <c r="L25" s="25">
        <f t="shared" si="0"/>
        <v>6.2700000000000005</v>
      </c>
      <c r="M25" s="33">
        <v>3</v>
      </c>
    </row>
    <row r="26" spans="2:13" x14ac:dyDescent="0.4">
      <c r="B26" t="s">
        <v>179</v>
      </c>
      <c r="C26" t="s">
        <v>237</v>
      </c>
      <c r="D26" t="s">
        <v>98</v>
      </c>
      <c r="E26" t="s">
        <v>238</v>
      </c>
      <c r="F26" s="19" t="s">
        <v>239</v>
      </c>
      <c r="G26" s="33">
        <v>1</v>
      </c>
      <c r="H26" s="33">
        <f>Tabelle2[[#This Row],[Anzahl-Platine]]*Tabelle2[[#This Row],[Multiplyer]]</f>
        <v>3</v>
      </c>
      <c r="I26" s="28">
        <v>0.96</v>
      </c>
      <c r="J26" s="30">
        <f t="shared" si="1"/>
        <v>0.8</v>
      </c>
      <c r="K26" s="25">
        <f>Tabelle2[[#This Row],[Bestell-Anzahl]]*Tabelle2[[#This Row],[Brutto pro VE]]</f>
        <v>2.88</v>
      </c>
      <c r="L26" s="25">
        <f t="shared" si="0"/>
        <v>2.4</v>
      </c>
      <c r="M26" s="33">
        <v>3</v>
      </c>
    </row>
    <row r="27" spans="2:13" x14ac:dyDescent="0.4">
      <c r="B27" t="s">
        <v>179</v>
      </c>
      <c r="C27" s="27" t="s">
        <v>240</v>
      </c>
      <c r="D27" t="s">
        <v>98</v>
      </c>
      <c r="E27" t="s">
        <v>241</v>
      </c>
      <c r="F27" s="19" t="s">
        <v>242</v>
      </c>
      <c r="G27" s="33">
        <v>1</v>
      </c>
      <c r="H27" s="33">
        <f>Tabelle2[[#This Row],[Anzahl-Platine]]*Tabelle2[[#This Row],[Multiplyer]]</f>
        <v>3</v>
      </c>
      <c r="I27" s="28">
        <v>9.5000000000000001E-2</v>
      </c>
      <c r="J27" s="30">
        <f t="shared" si="1"/>
        <v>7.9166666666666677E-2</v>
      </c>
      <c r="K27" s="25">
        <f>Tabelle2[[#This Row],[Bestell-Anzahl]]*Tabelle2[[#This Row],[Brutto pro VE]]</f>
        <v>0.28500000000000003</v>
      </c>
      <c r="L27" s="25">
        <f t="shared" si="0"/>
        <v>0.23750000000000004</v>
      </c>
      <c r="M27" s="33">
        <v>3</v>
      </c>
    </row>
    <row r="28" spans="2:13" x14ac:dyDescent="0.4">
      <c r="B28" t="s">
        <v>179</v>
      </c>
      <c r="C28" t="s">
        <v>243</v>
      </c>
      <c r="D28" t="s">
        <v>98</v>
      </c>
      <c r="E28" t="s">
        <v>244</v>
      </c>
      <c r="F28" s="19" t="s">
        <v>245</v>
      </c>
      <c r="G28" s="33">
        <v>1</v>
      </c>
      <c r="H28" s="33">
        <f>Tabelle2[[#This Row],[Anzahl-Platine]]*Tabelle2[[#This Row],[Multiplyer]]</f>
        <v>3</v>
      </c>
      <c r="I28" s="28">
        <v>9.5000000000000001E-2</v>
      </c>
      <c r="J28" s="30">
        <f t="shared" si="1"/>
        <v>7.9166666666666677E-2</v>
      </c>
      <c r="K28" s="25">
        <f>Tabelle2[[#This Row],[Bestell-Anzahl]]*Tabelle2[[#This Row],[Brutto pro VE]]</f>
        <v>0.28500000000000003</v>
      </c>
      <c r="L28" s="25">
        <f t="shared" si="0"/>
        <v>0.23750000000000004</v>
      </c>
      <c r="M28" s="33">
        <v>3</v>
      </c>
    </row>
    <row r="29" spans="2:13" x14ac:dyDescent="0.4">
      <c r="B29" t="s">
        <v>179</v>
      </c>
      <c r="C29" s="27" t="s">
        <v>246</v>
      </c>
      <c r="D29" t="s">
        <v>98</v>
      </c>
      <c r="E29" t="s">
        <v>247</v>
      </c>
      <c r="F29" s="19" t="s">
        <v>248</v>
      </c>
      <c r="G29" s="33">
        <v>2</v>
      </c>
      <c r="H29" s="33">
        <f>Tabelle2[[#This Row],[Anzahl-Platine]]*Tabelle2[[#This Row],[Multiplyer]]</f>
        <v>6</v>
      </c>
      <c r="I29" s="28">
        <v>2.64</v>
      </c>
      <c r="J29" s="30">
        <f t="shared" si="1"/>
        <v>2.2000000000000002</v>
      </c>
      <c r="K29" s="25">
        <f>Tabelle2[[#This Row],[Bestell-Anzahl]]*Tabelle2[[#This Row],[Brutto pro VE]]</f>
        <v>15.84</v>
      </c>
      <c r="L29" s="25">
        <f t="shared" si="0"/>
        <v>13.200000000000001</v>
      </c>
      <c r="M29" s="33">
        <v>3</v>
      </c>
    </row>
    <row r="30" spans="2:13" x14ac:dyDescent="0.4">
      <c r="B30" t="s">
        <v>179</v>
      </c>
      <c r="C30" s="27" t="s">
        <v>249</v>
      </c>
      <c r="D30" t="s">
        <v>98</v>
      </c>
      <c r="E30" t="s">
        <v>250</v>
      </c>
      <c r="F30" s="19" t="s">
        <v>251</v>
      </c>
      <c r="G30" s="33">
        <v>1</v>
      </c>
      <c r="H30" s="33">
        <f>Tabelle2[[#This Row],[Anzahl-Platine]]*Tabelle2[[#This Row],[Multiplyer]]</f>
        <v>3</v>
      </c>
      <c r="I30" s="28">
        <v>9.5000000000000001E-2</v>
      </c>
      <c r="J30" s="30">
        <f t="shared" si="1"/>
        <v>7.9166666666666677E-2</v>
      </c>
      <c r="K30" s="25">
        <f>Tabelle2[[#This Row],[Bestell-Anzahl]]*Tabelle2[[#This Row],[Brutto pro VE]]</f>
        <v>0.28500000000000003</v>
      </c>
      <c r="L30" s="25">
        <f t="shared" si="0"/>
        <v>0.23750000000000004</v>
      </c>
      <c r="M30" s="33">
        <v>3</v>
      </c>
    </row>
    <row r="31" spans="2:13" x14ac:dyDescent="0.4">
      <c r="B31" t="s">
        <v>179</v>
      </c>
      <c r="C31" t="s">
        <v>255</v>
      </c>
      <c r="D31" t="s">
        <v>98</v>
      </c>
      <c r="E31" t="s">
        <v>254</v>
      </c>
      <c r="F31" s="19" t="s">
        <v>256</v>
      </c>
      <c r="G31" s="33">
        <v>1</v>
      </c>
      <c r="H31" s="33">
        <f>Tabelle2[[#This Row],[Anzahl-Platine]]*Tabelle2[[#This Row],[Multiplyer]]</f>
        <v>3</v>
      </c>
      <c r="I31" s="28">
        <v>2.96</v>
      </c>
      <c r="J31" s="30">
        <f t="shared" si="1"/>
        <v>2.4666666666666668</v>
      </c>
      <c r="K31" s="25">
        <f>Tabelle2[[#This Row],[Bestell-Anzahl]]*Tabelle2[[#This Row],[Brutto pro VE]]</f>
        <v>8.879999999999999</v>
      </c>
      <c r="L31" s="25">
        <f t="shared" si="0"/>
        <v>7.3999999999999995</v>
      </c>
      <c r="M31" s="33">
        <v>3</v>
      </c>
    </row>
    <row r="32" spans="2:13" x14ac:dyDescent="0.4">
      <c r="B32" t="s">
        <v>179</v>
      </c>
      <c r="C32" s="27" t="s">
        <v>257</v>
      </c>
      <c r="D32" t="s">
        <v>98</v>
      </c>
      <c r="E32" t="s">
        <v>258</v>
      </c>
      <c r="F32" s="19" t="s">
        <v>259</v>
      </c>
      <c r="G32" s="33">
        <v>1</v>
      </c>
      <c r="H32" s="33">
        <f>Tabelle2[[#This Row],[Anzahl-Platine]]*Tabelle2[[#This Row],[Multiplyer]]</f>
        <v>3</v>
      </c>
      <c r="I32" s="28">
        <v>3.71</v>
      </c>
      <c r="J32" s="30">
        <f t="shared" si="1"/>
        <v>3.0916666666666668</v>
      </c>
      <c r="K32" s="25">
        <f>Tabelle2[[#This Row],[Bestell-Anzahl]]*Tabelle2[[#This Row],[Brutto pro VE]]</f>
        <v>11.129999999999999</v>
      </c>
      <c r="L32" s="25">
        <f t="shared" si="0"/>
        <v>9.2750000000000004</v>
      </c>
      <c r="M32" s="33">
        <v>3</v>
      </c>
    </row>
    <row r="33" spans="1:13" x14ac:dyDescent="0.4">
      <c r="B33" t="s">
        <v>179</v>
      </c>
      <c r="C33" t="s">
        <v>263</v>
      </c>
      <c r="D33" t="s">
        <v>98</v>
      </c>
      <c r="E33" t="s">
        <v>264</v>
      </c>
      <c r="F33" s="19" t="s">
        <v>265</v>
      </c>
      <c r="G33" s="33">
        <v>2</v>
      </c>
      <c r="H33" s="33">
        <f>Tabelle2[[#This Row],[Anzahl-Platine]]*Tabelle2[[#This Row],[Multiplyer]]</f>
        <v>6</v>
      </c>
      <c r="I33" s="28">
        <v>1.1100000000000001</v>
      </c>
      <c r="J33" s="28">
        <f t="shared" si="1"/>
        <v>0.92500000000000016</v>
      </c>
      <c r="K33" s="25">
        <f>Tabelle2[[#This Row],[Bestell-Anzahl]]*Tabelle2[[#This Row],[Brutto pro VE]]</f>
        <v>6.66</v>
      </c>
      <c r="L33" s="25">
        <f t="shared" si="0"/>
        <v>5.5500000000000007</v>
      </c>
      <c r="M33" s="33">
        <v>3</v>
      </c>
    </row>
    <row r="34" spans="1:13" x14ac:dyDescent="0.4">
      <c r="B34" t="s">
        <v>179</v>
      </c>
      <c r="C34" s="27" t="s">
        <v>266</v>
      </c>
      <c r="D34" t="s">
        <v>98</v>
      </c>
      <c r="E34" t="s">
        <v>267</v>
      </c>
      <c r="F34" s="19" t="s">
        <v>268</v>
      </c>
      <c r="G34" s="33">
        <v>1</v>
      </c>
      <c r="H34" s="33">
        <f>Tabelle2[[#This Row],[Anzahl-Platine]]*Tabelle2[[#This Row],[Multiplyer]]</f>
        <v>3</v>
      </c>
      <c r="I34" s="28">
        <v>0.2</v>
      </c>
      <c r="J34" s="28">
        <f t="shared" si="1"/>
        <v>0.16666666666666669</v>
      </c>
      <c r="K34" s="25">
        <f>Tabelle2[[#This Row],[Bestell-Anzahl]]*Tabelle2[[#This Row],[Brutto pro VE]]</f>
        <v>0.60000000000000009</v>
      </c>
      <c r="L34" s="25">
        <f t="shared" si="0"/>
        <v>0.50000000000000011</v>
      </c>
      <c r="M34" s="33">
        <v>3</v>
      </c>
    </row>
    <row r="35" spans="1:13" x14ac:dyDescent="0.4">
      <c r="B35" t="s">
        <v>179</v>
      </c>
      <c r="C35" t="s">
        <v>269</v>
      </c>
      <c r="D35" t="s">
        <v>98</v>
      </c>
      <c r="E35" t="s">
        <v>270</v>
      </c>
      <c r="F35" s="19" t="s">
        <v>271</v>
      </c>
      <c r="G35" s="33">
        <v>1</v>
      </c>
      <c r="H35" s="33">
        <f>Tabelle2[[#This Row],[Anzahl-Platine]]*Tabelle2[[#This Row],[Multiplyer]]</f>
        <v>3</v>
      </c>
      <c r="I35" s="28">
        <v>0.32300000000000001</v>
      </c>
      <c r="J35" s="28">
        <f t="shared" si="1"/>
        <v>0.26916666666666667</v>
      </c>
      <c r="K35" s="25">
        <f>Tabelle2[[#This Row],[Bestell-Anzahl]]*Tabelle2[[#This Row],[Brutto pro VE]]</f>
        <v>0.96900000000000008</v>
      </c>
      <c r="L35" s="25">
        <f t="shared" si="0"/>
        <v>0.80750000000000011</v>
      </c>
      <c r="M35" s="33">
        <v>3</v>
      </c>
    </row>
    <row r="36" spans="1:13" x14ac:dyDescent="0.4">
      <c r="B36" t="s">
        <v>179</v>
      </c>
      <c r="C36" s="27" t="s">
        <v>272</v>
      </c>
      <c r="D36" t="s">
        <v>98</v>
      </c>
      <c r="E36" t="s">
        <v>273</v>
      </c>
      <c r="F36" s="19" t="s">
        <v>274</v>
      </c>
      <c r="G36" s="33">
        <v>1</v>
      </c>
      <c r="H36" s="33">
        <f>Tabelle2[[#This Row],[Anzahl-Platine]]*Tabelle2[[#This Row],[Multiplyer]]</f>
        <v>3</v>
      </c>
      <c r="I36" s="28">
        <v>3.51</v>
      </c>
      <c r="J36" s="28">
        <f t="shared" si="1"/>
        <v>2.9249999999999998</v>
      </c>
      <c r="K36" s="25">
        <f>Tabelle2[[#This Row],[Bestell-Anzahl]]*Tabelle2[[#This Row],[Brutto pro VE]]</f>
        <v>10.53</v>
      </c>
      <c r="L36" s="25">
        <f t="shared" si="0"/>
        <v>8.7750000000000004</v>
      </c>
      <c r="M36" s="33">
        <v>3</v>
      </c>
    </row>
    <row r="37" spans="1:13" x14ac:dyDescent="0.4">
      <c r="B37" t="s">
        <v>179</v>
      </c>
      <c r="C37" t="s">
        <v>234</v>
      </c>
      <c r="D37" t="s">
        <v>117</v>
      </c>
      <c r="E37" t="s">
        <v>235</v>
      </c>
      <c r="F37" s="19" t="s">
        <v>236</v>
      </c>
      <c r="G37" s="33">
        <v>1</v>
      </c>
      <c r="H37" s="33">
        <f>Tabelle2[[#This Row],[Anzahl-Platine]]*Tabelle2[[#This Row],[Multiplyer]]</f>
        <v>3</v>
      </c>
      <c r="I37" s="28">
        <v>0.28399999999999997</v>
      </c>
      <c r="J37" s="30">
        <f t="shared" si="1"/>
        <v>0.23666666666666666</v>
      </c>
      <c r="K37" s="25">
        <f>Tabelle2[[#This Row],[Bestell-Anzahl]]*Tabelle2[[#This Row],[Brutto pro VE]]</f>
        <v>0.85199999999999987</v>
      </c>
      <c r="L37" s="25">
        <f t="shared" si="0"/>
        <v>0.71</v>
      </c>
      <c r="M37" s="33">
        <v>3</v>
      </c>
    </row>
    <row r="38" spans="1:13" x14ac:dyDescent="0.4">
      <c r="B38" t="s">
        <v>179</v>
      </c>
      <c r="C38" t="s">
        <v>260</v>
      </c>
      <c r="D38" t="s">
        <v>117</v>
      </c>
      <c r="E38" t="s">
        <v>261</v>
      </c>
      <c r="F38" s="19" t="s">
        <v>262</v>
      </c>
      <c r="G38" s="33">
        <v>2</v>
      </c>
      <c r="H38" s="33">
        <f>Tabelle2[[#This Row],[Anzahl-Platine]]*Tabelle2[[#This Row],[Multiplyer]]</f>
        <v>6</v>
      </c>
      <c r="I38" s="28">
        <v>0.61</v>
      </c>
      <c r="J38" s="28">
        <f t="shared" si="1"/>
        <v>0.5083333333333333</v>
      </c>
      <c r="K38" s="25">
        <f>Tabelle2[[#This Row],[Bestell-Anzahl]]*Tabelle2[[#This Row],[Brutto pro VE]]</f>
        <v>3.66</v>
      </c>
      <c r="L38" s="25">
        <f t="shared" si="0"/>
        <v>3.0500000000000003</v>
      </c>
      <c r="M38" s="33">
        <v>3</v>
      </c>
    </row>
    <row r="39" spans="1:13" x14ac:dyDescent="0.4">
      <c r="B39" t="s">
        <v>179</v>
      </c>
      <c r="C39" s="18" t="s">
        <v>287</v>
      </c>
      <c r="D39" t="s">
        <v>117</v>
      </c>
      <c r="E39" t="s">
        <v>286</v>
      </c>
      <c r="F39" s="19" t="s">
        <v>285</v>
      </c>
      <c r="G39" s="33">
        <v>1</v>
      </c>
      <c r="H39" s="33">
        <f>Tabelle2[[#This Row],[Anzahl-Platine]]*Tabelle2[[#This Row],[Multiplyer]]</f>
        <v>1</v>
      </c>
      <c r="I39" s="28">
        <v>11.21</v>
      </c>
      <c r="J39" s="28">
        <f t="shared" si="1"/>
        <v>9.3416666666666686</v>
      </c>
      <c r="K39" s="25">
        <f>Tabelle2[[#This Row],[Bestell-Anzahl]]*Tabelle2[[#This Row],[Brutto pro VE]]</f>
        <v>11.21</v>
      </c>
      <c r="L39" s="25">
        <f t="shared" si="0"/>
        <v>9.3416666666666686</v>
      </c>
      <c r="M39" s="33">
        <v>1</v>
      </c>
    </row>
    <row r="40" spans="1:13" x14ac:dyDescent="0.4">
      <c r="A40" s="34"/>
      <c r="B40" s="34"/>
      <c r="C40" s="35"/>
      <c r="D40" s="34"/>
      <c r="E40" s="34"/>
      <c r="F40" s="34"/>
      <c r="G40" s="36"/>
      <c r="H40" s="36"/>
      <c r="I40" s="37"/>
      <c r="J40" s="37"/>
      <c r="K40" s="38">
        <f>SUBTOTAL(9, K2:K39)</f>
        <v>224.11599999999999</v>
      </c>
      <c r="L40" s="38">
        <f>SUBTOTAL(9, L2:L39)</f>
        <v>186.76333333333338</v>
      </c>
      <c r="M40" s="39" t="s">
        <v>14</v>
      </c>
    </row>
    <row r="42" spans="1:13" x14ac:dyDescent="0.4">
      <c r="K42" s="41"/>
    </row>
    <row r="45" spans="1:13" x14ac:dyDescent="0.4">
      <c r="K45" s="25"/>
      <c r="L45" s="25"/>
    </row>
    <row r="46" spans="1:13" x14ac:dyDescent="0.4">
      <c r="K46" s="25"/>
      <c r="L46" s="25"/>
    </row>
    <row r="47" spans="1:13" x14ac:dyDescent="0.4">
      <c r="K47" s="25"/>
      <c r="L47" s="25"/>
    </row>
    <row r="48" spans="1:13" x14ac:dyDescent="0.4">
      <c r="K48" s="25"/>
      <c r="L48" s="25"/>
    </row>
    <row r="49" spans="10:12" x14ac:dyDescent="0.4">
      <c r="J49" s="30"/>
      <c r="K49" s="25"/>
      <c r="L49" s="25"/>
    </row>
  </sheetData>
  <dataValidations disablePrompts="1" count="1">
    <dataValidation type="list" allowBlank="1" showInputMessage="1" showErrorMessage="1" sqref="D45:D49 D2:D40" xr:uid="{BE8C8BB2-0325-48B9-8910-7B42DC6FC9B0}">
      <formula1>#REF!</formula1>
    </dataValidation>
  </dataValidations>
  <hyperlinks>
    <hyperlink ref="F9" r:id="rId1" xr:uid="{04C291CF-3051-417A-ACB5-ABFC3B6A11EA}"/>
    <hyperlink ref="F10" r:id="rId2" xr:uid="{FDD587C3-3576-4D22-BF46-4F54EEFAE003}"/>
    <hyperlink ref="F11" r:id="rId3" xr:uid="{97BE8DA1-3B8A-4585-862C-DB5DCC468B4F}"/>
    <hyperlink ref="F12" r:id="rId4" xr:uid="{17A32C8C-E166-46AF-9EAD-B23FCF3453EC}"/>
    <hyperlink ref="F13" r:id="rId5" xr:uid="{A8C7BD4F-05EC-4593-B395-0F36D4A25BC4}"/>
    <hyperlink ref="F14" r:id="rId6" xr:uid="{2127C234-5801-47B0-BEA4-4AE0B2DDEE33}"/>
    <hyperlink ref="F15" r:id="rId7" xr:uid="{2ADA1073-90C3-4C8C-AF15-99EEADC051FA}"/>
    <hyperlink ref="F16" r:id="rId8" xr:uid="{08A45B33-365E-4166-871D-7A00F1E6AFA5}"/>
    <hyperlink ref="F17" r:id="rId9" xr:uid="{CE9A5C54-D8B5-449F-A3DA-8D058AE4E9CE}"/>
    <hyperlink ref="F18" r:id="rId10" xr:uid="{70BC4988-6399-4C8F-AA05-A8B24293E60F}"/>
    <hyperlink ref="F19" r:id="rId11" xr:uid="{F22891ED-B852-4192-8459-9EADB3196498}"/>
    <hyperlink ref="F20" r:id="rId12" xr:uid="{F9F23CFF-09F8-498E-835F-55BF8D927AB2}"/>
    <hyperlink ref="F21" r:id="rId13" xr:uid="{946346C1-3F2D-4F37-ABF0-0E451B275724}"/>
    <hyperlink ref="F22" r:id="rId14" xr:uid="{96D8D098-C851-4F0C-97EE-B688CA52B288}"/>
    <hyperlink ref="F23" r:id="rId15" xr:uid="{CF3FEB51-CAF6-4823-AA45-2351D2FC8BFD}"/>
    <hyperlink ref="F24" r:id="rId16" xr:uid="{E3B49244-B6EC-47B1-B5EB-9491C463EF29}"/>
    <hyperlink ref="F25" r:id="rId17" xr:uid="{E5D38A10-9A6B-402F-A889-07BE24960ECB}"/>
    <hyperlink ref="F37" r:id="rId18" xr:uid="{8AA52CDB-5637-4BBA-BB33-AAC9FD5E634F}"/>
    <hyperlink ref="F26" r:id="rId19" xr:uid="{DBDB66BF-5630-436D-BC4C-638632818A0A}"/>
    <hyperlink ref="F27" r:id="rId20" xr:uid="{412DDE33-2A87-4235-A104-EC0B4E83E464}"/>
    <hyperlink ref="F28" r:id="rId21" xr:uid="{1B044A73-4803-4BEC-B87E-4C1EB133D5E2}"/>
    <hyperlink ref="F29" r:id="rId22" xr:uid="{63095CDA-F5D8-4F13-8579-50F437316CAC}"/>
    <hyperlink ref="F30" r:id="rId23" xr:uid="{11089C4D-624B-4915-9CA2-E6C47E06258B}"/>
    <hyperlink ref="F7" r:id="rId24" xr:uid="{A6B461FC-9016-4372-B645-854119A79BF7}"/>
    <hyperlink ref="F31" r:id="rId25" xr:uid="{A34DD342-6B0F-489D-9302-6F5D2DBA5BED}"/>
    <hyperlink ref="F32" r:id="rId26" xr:uid="{73D87F24-5BD7-469C-9FB7-1E537C1A4946}"/>
    <hyperlink ref="F38" r:id="rId27" xr:uid="{A457D519-437F-4BEB-8D6B-9FC65B6EA3DD}"/>
    <hyperlink ref="F33" r:id="rId28" xr:uid="{FE49F89A-C669-43BC-8821-2C36B6B547A3}"/>
    <hyperlink ref="F34" r:id="rId29" xr:uid="{02ADC2B6-5D13-4582-A8F0-F100E8644F78}"/>
    <hyperlink ref="F35" r:id="rId30" xr:uid="{D673C79B-2635-4401-8ACF-7DAB6D74BF1C}"/>
    <hyperlink ref="F36" r:id="rId31" xr:uid="{D6A9C527-BD76-44FA-B94C-1BBA0C681515}"/>
    <hyperlink ref="F4" r:id="rId32" xr:uid="{B2269D78-1784-4D6C-A283-EE286F544357}"/>
    <hyperlink ref="F5" r:id="rId33" xr:uid="{61D2A8CA-B19B-4ECA-9B6B-4A511E340BC7}"/>
    <hyperlink ref="F2" r:id="rId34" xr:uid="{0D8134BA-3B34-4807-8CF5-FEAC8203476C}"/>
    <hyperlink ref="F39" r:id="rId35" xr:uid="{6FA3E7E4-2CE8-42C3-AB80-92363A4F8EE4}"/>
    <hyperlink ref="F6" r:id="rId36" xr:uid="{89334920-4FCC-4847-A278-BC833224869B}"/>
  </hyperlinks>
  <pageMargins left="0.7" right="0.7" top="0.78740157499999996" bottom="0.78740157499999996" header="0.3" footer="0.3"/>
  <pageSetup paperSize="9" orientation="portrait" r:id="rId37"/>
  <tableParts count="1">
    <tablePart r:id="rId3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G47"/>
  <sheetViews>
    <sheetView workbookViewId="0">
      <selection activeCell="B5" sqref="B5"/>
    </sheetView>
  </sheetViews>
  <sheetFormatPr baseColWidth="10" defaultColWidth="11.4609375" defaultRowHeight="14.6" x14ac:dyDescent="0.4"/>
  <cols>
    <col min="2" max="2" width="26.69140625" bestFit="1" customWidth="1"/>
    <col min="3" max="3" width="44.84375" bestFit="1" customWidth="1"/>
    <col min="4" max="4" width="22" style="20" bestFit="1" customWidth="1"/>
    <col min="5" max="5" width="55.69140625" bestFit="1" customWidth="1"/>
    <col min="6" max="6" width="11.84375" bestFit="1" customWidth="1"/>
    <col min="7" max="7" width="71.84375" bestFit="1" customWidth="1"/>
  </cols>
  <sheetData>
    <row r="1" spans="2:7" x14ac:dyDescent="0.4">
      <c r="D1"/>
    </row>
    <row r="2" spans="2:7" x14ac:dyDescent="0.4">
      <c r="D2"/>
    </row>
    <row r="3" spans="2:7" x14ac:dyDescent="0.4">
      <c r="B3" s="1" t="s">
        <v>2</v>
      </c>
      <c r="C3" s="1" t="s">
        <v>15</v>
      </c>
      <c r="D3" s="1" t="s">
        <v>16</v>
      </c>
      <c r="E3" s="1" t="s">
        <v>4</v>
      </c>
      <c r="F3" s="1" t="s">
        <v>17</v>
      </c>
      <c r="G3" s="1" t="s">
        <v>13</v>
      </c>
    </row>
    <row r="4" spans="2:7" x14ac:dyDescent="0.4">
      <c r="B4" t="s">
        <v>18</v>
      </c>
      <c r="C4" t="s">
        <v>19</v>
      </c>
      <c r="D4" s="20" t="s">
        <v>20</v>
      </c>
      <c r="E4" s="19" t="s">
        <v>21</v>
      </c>
      <c r="F4" t="s">
        <v>22</v>
      </c>
      <c r="G4" t="s">
        <v>23</v>
      </c>
    </row>
    <row r="5" spans="2:7" x14ac:dyDescent="0.4">
      <c r="B5" t="s">
        <v>24</v>
      </c>
      <c r="C5" t="s">
        <v>25</v>
      </c>
      <c r="D5" s="20" t="s">
        <v>26</v>
      </c>
      <c r="E5" s="19" t="s">
        <v>27</v>
      </c>
      <c r="F5" t="s">
        <v>25</v>
      </c>
      <c r="G5" t="s">
        <v>28</v>
      </c>
    </row>
    <row r="6" spans="2:7" x14ac:dyDescent="0.4">
      <c r="B6" t="s">
        <v>29</v>
      </c>
      <c r="C6" t="s">
        <v>30</v>
      </c>
      <c r="D6" s="20" t="s">
        <v>26</v>
      </c>
      <c r="E6" s="19" t="s">
        <v>31</v>
      </c>
      <c r="F6" t="s">
        <v>22</v>
      </c>
      <c r="G6" t="s">
        <v>32</v>
      </c>
    </row>
    <row r="7" spans="2:7" x14ac:dyDescent="0.4">
      <c r="B7" t="s">
        <v>33</v>
      </c>
      <c r="C7" t="s">
        <v>34</v>
      </c>
      <c r="D7" s="20" t="s">
        <v>20</v>
      </c>
      <c r="E7" s="19" t="s">
        <v>35</v>
      </c>
      <c r="F7" t="s">
        <v>22</v>
      </c>
    </row>
    <row r="8" spans="2:7" x14ac:dyDescent="0.4">
      <c r="B8" t="s">
        <v>36</v>
      </c>
      <c r="C8" t="s">
        <v>37</v>
      </c>
      <c r="D8" s="20" t="s">
        <v>26</v>
      </c>
      <c r="E8" s="19" t="s">
        <v>38</v>
      </c>
      <c r="F8" t="s">
        <v>39</v>
      </c>
    </row>
    <row r="9" spans="2:7" x14ac:dyDescent="0.4">
      <c r="B9" t="s">
        <v>40</v>
      </c>
      <c r="C9" t="s">
        <v>41</v>
      </c>
      <c r="D9" s="20" t="s">
        <v>26</v>
      </c>
      <c r="E9" s="19" t="s">
        <v>42</v>
      </c>
      <c r="F9" t="s">
        <v>22</v>
      </c>
    </row>
    <row r="10" spans="2:7" x14ac:dyDescent="0.4">
      <c r="B10" t="s">
        <v>43</v>
      </c>
      <c r="C10" t="s">
        <v>37</v>
      </c>
      <c r="D10" s="20" t="s">
        <v>26</v>
      </c>
      <c r="E10" s="19" t="s">
        <v>44</v>
      </c>
      <c r="F10" t="s">
        <v>39</v>
      </c>
    </row>
    <row r="11" spans="2:7" x14ac:dyDescent="0.4">
      <c r="B11" t="s">
        <v>45</v>
      </c>
      <c r="C11" t="s">
        <v>37</v>
      </c>
      <c r="D11" s="20" t="s">
        <v>26</v>
      </c>
      <c r="E11" s="19" t="s">
        <v>46</v>
      </c>
      <c r="F11" t="s">
        <v>39</v>
      </c>
    </row>
    <row r="12" spans="2:7" x14ac:dyDescent="0.4">
      <c r="B12" t="s">
        <v>47</v>
      </c>
      <c r="C12" t="s">
        <v>48</v>
      </c>
      <c r="D12" s="20" t="s">
        <v>20</v>
      </c>
      <c r="E12" s="19" t="s">
        <v>49</v>
      </c>
      <c r="F12" t="s">
        <v>25</v>
      </c>
    </row>
    <row r="13" spans="2:7" x14ac:dyDescent="0.4">
      <c r="B13" t="s">
        <v>50</v>
      </c>
      <c r="C13" t="s">
        <v>37</v>
      </c>
      <c r="D13" s="20" t="s">
        <v>20</v>
      </c>
      <c r="E13" s="19" t="s">
        <v>51</v>
      </c>
      <c r="F13" t="s">
        <v>39</v>
      </c>
    </row>
    <row r="14" spans="2:7" x14ac:dyDescent="0.4">
      <c r="B14" t="s">
        <v>52</v>
      </c>
      <c r="C14" t="s">
        <v>53</v>
      </c>
      <c r="D14" s="20" t="s">
        <v>26</v>
      </c>
      <c r="E14" s="19" t="s">
        <v>54</v>
      </c>
      <c r="F14" t="s">
        <v>22</v>
      </c>
    </row>
    <row r="15" spans="2:7" x14ac:dyDescent="0.4">
      <c r="B15" t="s">
        <v>55</v>
      </c>
      <c r="C15" t="s">
        <v>37</v>
      </c>
      <c r="D15" s="20" t="s">
        <v>20</v>
      </c>
      <c r="E15" s="19" t="s">
        <v>56</v>
      </c>
      <c r="F15" t="s">
        <v>39</v>
      </c>
    </row>
    <row r="16" spans="2:7" x14ac:dyDescent="0.4">
      <c r="B16" t="s">
        <v>57</v>
      </c>
      <c r="C16" t="s">
        <v>58</v>
      </c>
      <c r="D16" s="20" t="s">
        <v>26</v>
      </c>
      <c r="E16" s="19" t="s">
        <v>59</v>
      </c>
      <c r="F16" t="s">
        <v>39</v>
      </c>
    </row>
    <row r="17" spans="2:7" x14ac:dyDescent="0.4">
      <c r="B17" t="s">
        <v>60</v>
      </c>
      <c r="C17" t="s">
        <v>61</v>
      </c>
      <c r="D17" s="20" t="s">
        <v>20</v>
      </c>
      <c r="E17" s="19" t="s">
        <v>62</v>
      </c>
      <c r="F17" t="s">
        <v>22</v>
      </c>
    </row>
    <row r="18" spans="2:7" x14ac:dyDescent="0.4">
      <c r="B18" t="s">
        <v>63</v>
      </c>
      <c r="C18" t="s">
        <v>64</v>
      </c>
      <c r="D18" s="20" t="s">
        <v>26</v>
      </c>
      <c r="E18" s="19" t="s">
        <v>65</v>
      </c>
      <c r="F18" t="s">
        <v>22</v>
      </c>
    </row>
    <row r="19" spans="2:7" x14ac:dyDescent="0.4">
      <c r="B19" t="s">
        <v>66</v>
      </c>
      <c r="C19" t="s">
        <v>67</v>
      </c>
      <c r="D19" s="20" t="s">
        <v>20</v>
      </c>
      <c r="E19" s="19" t="s">
        <v>68</v>
      </c>
      <c r="F19" t="s">
        <v>22</v>
      </c>
      <c r="G19" t="s">
        <v>69</v>
      </c>
    </row>
    <row r="20" spans="2:7" x14ac:dyDescent="0.4">
      <c r="B20" t="s">
        <v>70</v>
      </c>
      <c r="C20" t="s">
        <v>64</v>
      </c>
      <c r="D20" s="20" t="s">
        <v>20</v>
      </c>
      <c r="E20" s="19" t="s">
        <v>71</v>
      </c>
      <c r="F20" t="s">
        <v>22</v>
      </c>
      <c r="G20" t="s">
        <v>72</v>
      </c>
    </row>
    <row r="21" spans="2:7" x14ac:dyDescent="0.4">
      <c r="B21" t="s">
        <v>73</v>
      </c>
      <c r="C21" t="s">
        <v>74</v>
      </c>
      <c r="D21" s="20" t="s">
        <v>26</v>
      </c>
      <c r="E21" s="19" t="s">
        <v>75</v>
      </c>
      <c r="F21" t="s">
        <v>22</v>
      </c>
      <c r="G21" t="s">
        <v>76</v>
      </c>
    </row>
    <row r="22" spans="2:7" x14ac:dyDescent="0.4">
      <c r="B22" t="s">
        <v>77</v>
      </c>
      <c r="C22" t="s">
        <v>41</v>
      </c>
      <c r="D22" s="20" t="s">
        <v>26</v>
      </c>
      <c r="E22" s="19" t="s">
        <v>78</v>
      </c>
      <c r="F22" t="s">
        <v>22</v>
      </c>
    </row>
    <row r="23" spans="2:7" x14ac:dyDescent="0.4">
      <c r="B23" t="s">
        <v>79</v>
      </c>
      <c r="C23" t="s">
        <v>64</v>
      </c>
      <c r="D23" s="20" t="s">
        <v>20</v>
      </c>
      <c r="E23" s="19" t="s">
        <v>80</v>
      </c>
      <c r="F23" t="s">
        <v>22</v>
      </c>
    </row>
    <row r="24" spans="2:7" x14ac:dyDescent="0.4">
      <c r="B24" t="s">
        <v>81</v>
      </c>
      <c r="C24" t="s">
        <v>82</v>
      </c>
      <c r="D24" s="20" t="s">
        <v>20</v>
      </c>
      <c r="E24" s="19" t="s">
        <v>83</v>
      </c>
      <c r="F24" t="s">
        <v>22</v>
      </c>
    </row>
    <row r="25" spans="2:7" x14ac:dyDescent="0.4">
      <c r="B25" t="s">
        <v>84</v>
      </c>
      <c r="C25" t="s">
        <v>85</v>
      </c>
      <c r="D25" s="20" t="s">
        <v>26</v>
      </c>
      <c r="E25" s="19" t="s">
        <v>86</v>
      </c>
      <c r="F25" t="s">
        <v>22</v>
      </c>
      <c r="G25" t="s">
        <v>87</v>
      </c>
    </row>
    <row r="26" spans="2:7" x14ac:dyDescent="0.4">
      <c r="B26" t="s">
        <v>88</v>
      </c>
      <c r="C26" t="s">
        <v>89</v>
      </c>
      <c r="D26" s="20" t="s">
        <v>20</v>
      </c>
      <c r="E26" s="19" t="s">
        <v>90</v>
      </c>
      <c r="F26" t="s">
        <v>22</v>
      </c>
    </row>
    <row r="27" spans="2:7" x14ac:dyDescent="0.4">
      <c r="B27" t="s">
        <v>91</v>
      </c>
      <c r="C27" t="s">
        <v>92</v>
      </c>
      <c r="D27" s="20" t="s">
        <v>20</v>
      </c>
      <c r="E27" s="19" t="s">
        <v>93</v>
      </c>
      <c r="F27" t="s">
        <v>22</v>
      </c>
    </row>
    <row r="28" spans="2:7" x14ac:dyDescent="0.4">
      <c r="B28" t="s">
        <v>94</v>
      </c>
      <c r="C28" t="s">
        <v>41</v>
      </c>
      <c r="D28" s="20" t="s">
        <v>20</v>
      </c>
      <c r="E28" s="19" t="s">
        <v>95</v>
      </c>
      <c r="F28" t="s">
        <v>22</v>
      </c>
      <c r="G28" t="s">
        <v>76</v>
      </c>
    </row>
    <row r="29" spans="2:7" x14ac:dyDescent="0.4">
      <c r="B29" t="s">
        <v>96</v>
      </c>
      <c r="C29" t="s">
        <v>53</v>
      </c>
      <c r="D29" s="20" t="s">
        <v>26</v>
      </c>
      <c r="E29" s="19" t="s">
        <v>97</v>
      </c>
      <c r="F29" t="s">
        <v>22</v>
      </c>
    </row>
    <row r="30" spans="2:7" x14ac:dyDescent="0.4">
      <c r="B30" t="s">
        <v>98</v>
      </c>
      <c r="C30" t="s">
        <v>37</v>
      </c>
      <c r="D30" s="20" t="s">
        <v>26</v>
      </c>
      <c r="E30" s="19" t="s">
        <v>99</v>
      </c>
      <c r="F30" t="s">
        <v>39</v>
      </c>
    </row>
    <row r="31" spans="2:7" x14ac:dyDescent="0.4">
      <c r="B31" t="s">
        <v>100</v>
      </c>
      <c r="C31" t="s">
        <v>53</v>
      </c>
      <c r="D31" s="20" t="s">
        <v>20</v>
      </c>
      <c r="E31" s="19" t="s">
        <v>101</v>
      </c>
      <c r="F31" t="s">
        <v>22</v>
      </c>
    </row>
    <row r="32" spans="2:7" x14ac:dyDescent="0.4">
      <c r="B32" t="s">
        <v>102</v>
      </c>
      <c r="C32" t="s">
        <v>30</v>
      </c>
      <c r="D32" s="20" t="s">
        <v>26</v>
      </c>
      <c r="E32" s="19" t="s">
        <v>103</v>
      </c>
      <c r="F32" t="s">
        <v>22</v>
      </c>
      <c r="G32" t="s">
        <v>32</v>
      </c>
    </row>
    <row r="33" spans="2:7" x14ac:dyDescent="0.4">
      <c r="B33" t="s">
        <v>104</v>
      </c>
      <c r="C33" t="s">
        <v>85</v>
      </c>
      <c r="D33" s="20" t="s">
        <v>20</v>
      </c>
      <c r="E33" s="19" t="s">
        <v>105</v>
      </c>
      <c r="F33" t="s">
        <v>22</v>
      </c>
    </row>
    <row r="34" spans="2:7" x14ac:dyDescent="0.4">
      <c r="B34" t="s">
        <v>106</v>
      </c>
      <c r="C34" t="s">
        <v>61</v>
      </c>
      <c r="D34" s="20" t="s">
        <v>20</v>
      </c>
      <c r="E34" s="19" t="s">
        <v>107</v>
      </c>
      <c r="F34" t="s">
        <v>22</v>
      </c>
    </row>
    <row r="35" spans="2:7" x14ac:dyDescent="0.4">
      <c r="B35" t="s">
        <v>108</v>
      </c>
      <c r="C35" t="s">
        <v>67</v>
      </c>
      <c r="D35" s="20" t="s">
        <v>20</v>
      </c>
      <c r="E35" s="19" t="s">
        <v>109</v>
      </c>
      <c r="F35" t="s">
        <v>22</v>
      </c>
      <c r="G35" t="s">
        <v>110</v>
      </c>
    </row>
    <row r="36" spans="2:7" x14ac:dyDescent="0.4">
      <c r="B36" t="s">
        <v>111</v>
      </c>
      <c r="C36" t="s">
        <v>82</v>
      </c>
      <c r="D36" s="20" t="s">
        <v>20</v>
      </c>
      <c r="E36" s="19" t="s">
        <v>112</v>
      </c>
      <c r="F36" t="s">
        <v>22</v>
      </c>
    </row>
    <row r="37" spans="2:7" x14ac:dyDescent="0.4">
      <c r="B37" t="s">
        <v>113</v>
      </c>
      <c r="C37" t="s">
        <v>37</v>
      </c>
      <c r="D37" s="20" t="s">
        <v>26</v>
      </c>
      <c r="E37" s="19" t="s">
        <v>114</v>
      </c>
      <c r="F37" t="s">
        <v>39</v>
      </c>
    </row>
    <row r="38" spans="2:7" x14ac:dyDescent="0.4">
      <c r="B38" t="s">
        <v>115</v>
      </c>
      <c r="C38" t="s">
        <v>37</v>
      </c>
      <c r="D38" s="20" t="s">
        <v>26</v>
      </c>
      <c r="E38" s="19" t="s">
        <v>116</v>
      </c>
      <c r="F38" t="s">
        <v>39</v>
      </c>
    </row>
    <row r="39" spans="2:7" x14ac:dyDescent="0.4">
      <c r="B39" t="s">
        <v>117</v>
      </c>
      <c r="C39" t="s">
        <v>118</v>
      </c>
      <c r="D39" s="20" t="s">
        <v>26</v>
      </c>
      <c r="E39" s="19" t="s">
        <v>119</v>
      </c>
      <c r="F39" t="s">
        <v>25</v>
      </c>
      <c r="G39" t="s">
        <v>120</v>
      </c>
    </row>
    <row r="40" spans="2:7" x14ac:dyDescent="0.4">
      <c r="B40" t="s">
        <v>121</v>
      </c>
      <c r="C40" t="s">
        <v>122</v>
      </c>
      <c r="D40" s="20" t="s">
        <v>20</v>
      </c>
      <c r="E40" s="19" t="s">
        <v>123</v>
      </c>
      <c r="F40" t="s">
        <v>22</v>
      </c>
    </row>
    <row r="41" spans="2:7" x14ac:dyDescent="0.4">
      <c r="B41" t="s">
        <v>124</v>
      </c>
      <c r="C41" t="s">
        <v>19</v>
      </c>
      <c r="D41" s="20" t="s">
        <v>20</v>
      </c>
      <c r="E41" s="19" t="s">
        <v>125</v>
      </c>
      <c r="F41" t="s">
        <v>22</v>
      </c>
      <c r="G41" t="s">
        <v>126</v>
      </c>
    </row>
    <row r="42" spans="2:7" x14ac:dyDescent="0.4">
      <c r="B42" t="s">
        <v>127</v>
      </c>
      <c r="C42" t="s">
        <v>128</v>
      </c>
      <c r="D42" s="20" t="s">
        <v>20</v>
      </c>
      <c r="E42" s="19" t="s">
        <v>129</v>
      </c>
      <c r="F42" t="s">
        <v>22</v>
      </c>
    </row>
    <row r="43" spans="2:7" x14ac:dyDescent="0.4">
      <c r="B43" t="s">
        <v>130</v>
      </c>
      <c r="C43" t="s">
        <v>131</v>
      </c>
      <c r="D43" s="20" t="s">
        <v>20</v>
      </c>
      <c r="E43" s="19" t="s">
        <v>132</v>
      </c>
      <c r="F43" t="s">
        <v>22</v>
      </c>
    </row>
    <row r="44" spans="2:7" x14ac:dyDescent="0.4">
      <c r="B44" t="s">
        <v>133</v>
      </c>
      <c r="C44" t="s">
        <v>134</v>
      </c>
      <c r="D44" s="20" t="s">
        <v>20</v>
      </c>
      <c r="E44" s="19" t="s">
        <v>135</v>
      </c>
      <c r="F44" t="s">
        <v>22</v>
      </c>
    </row>
    <row r="45" spans="2:7" x14ac:dyDescent="0.4">
      <c r="B45" t="s">
        <v>136</v>
      </c>
      <c r="C45" t="s">
        <v>53</v>
      </c>
      <c r="D45" s="20" t="s">
        <v>20</v>
      </c>
      <c r="E45" s="19" t="s">
        <v>137</v>
      </c>
      <c r="F45" t="s">
        <v>22</v>
      </c>
      <c r="G45" t="s">
        <v>138</v>
      </c>
    </row>
    <row r="46" spans="2:7" x14ac:dyDescent="0.4">
      <c r="B46" t="s">
        <v>139</v>
      </c>
      <c r="C46" t="s">
        <v>140</v>
      </c>
      <c r="D46" s="20" t="s">
        <v>20</v>
      </c>
      <c r="E46" s="19" t="s">
        <v>141</v>
      </c>
      <c r="F46" t="s">
        <v>22</v>
      </c>
      <c r="G46" t="s">
        <v>142</v>
      </c>
    </row>
    <row r="47" spans="2:7" x14ac:dyDescent="0.4">
      <c r="B47" t="s">
        <v>143</v>
      </c>
      <c r="C47" t="s">
        <v>144</v>
      </c>
      <c r="D47" s="20" t="s">
        <v>26</v>
      </c>
      <c r="E47" s="19" t="s">
        <v>145</v>
      </c>
      <c r="F47" t="s">
        <v>22</v>
      </c>
      <c r="G47" t="s">
        <v>146</v>
      </c>
    </row>
  </sheetData>
  <autoFilter ref="B3:G47" xr:uid="{00000000-0009-0000-0000-000001000000}">
    <sortState xmlns:xlrd2="http://schemas.microsoft.com/office/spreadsheetml/2017/richdata2" ref="B4:G47">
      <sortCondition ref="B3:B47"/>
    </sortState>
  </autoFilter>
  <hyperlinks>
    <hyperlink ref="E9" r:id="rId1" xr:uid="{00000000-0004-0000-0100-000000000000}"/>
    <hyperlink ref="E18" r:id="rId2" xr:uid="{00000000-0004-0000-0100-000001000000}"/>
    <hyperlink ref="E30" r:id="rId3" xr:uid="{00000000-0004-0000-0100-000002000000}"/>
    <hyperlink ref="E21" r:id="rId4" xr:uid="{00000000-0004-0000-0100-000003000000}"/>
    <hyperlink ref="E14" r:id="rId5" xr:uid="{00000000-0004-0000-0100-000004000000}"/>
    <hyperlink ref="E41" r:id="rId6" xr:uid="{00000000-0004-0000-0100-000005000000}"/>
    <hyperlink ref="E4" r:id="rId7" xr:uid="{00000000-0004-0000-0100-000006000000}"/>
    <hyperlink ref="E16" r:id="rId8" xr:uid="{00000000-0004-0000-0100-000007000000}"/>
    <hyperlink ref="E25" r:id="rId9" xr:uid="{00000000-0004-0000-0100-000008000000}"/>
    <hyperlink ref="E31" r:id="rId10" xr:uid="{00000000-0004-0000-0100-000009000000}"/>
    <hyperlink ref="E5" r:id="rId11" xr:uid="{00000000-0004-0000-0100-00000A000000}"/>
    <hyperlink ref="E29" r:id="rId12" xr:uid="{00000000-0004-0000-0100-00000B000000}"/>
    <hyperlink ref="E10" r:id="rId13" xr:uid="{00000000-0004-0000-0100-00000C000000}"/>
    <hyperlink ref="E37" r:id="rId14" xr:uid="{00000000-0004-0000-0100-00000D000000}"/>
    <hyperlink ref="E8" r:id="rId15" xr:uid="{00000000-0004-0000-0100-00000E000000}"/>
    <hyperlink ref="E39" r:id="rId16" xr:uid="{00000000-0004-0000-0100-00000F000000}"/>
    <hyperlink ref="E22" r:id="rId17" xr:uid="{00000000-0004-0000-0100-000010000000}"/>
    <hyperlink ref="E28" r:id="rId18" xr:uid="{00000000-0004-0000-0100-000011000000}"/>
    <hyperlink ref="E20" r:id="rId19" xr:uid="{00000000-0004-0000-0100-000012000000}"/>
    <hyperlink ref="E34" r:id="rId20" xr:uid="{00000000-0004-0000-0100-000013000000}"/>
    <hyperlink ref="E17" r:id="rId21" xr:uid="{00000000-0004-0000-0100-000014000000}"/>
    <hyperlink ref="E27" r:id="rId22" xr:uid="{00000000-0004-0000-0100-000015000000}"/>
    <hyperlink ref="E23" r:id="rId23" xr:uid="{00000000-0004-0000-0100-000016000000}"/>
    <hyperlink ref="E24" r:id="rId24" xr:uid="{00000000-0004-0000-0100-000017000000}"/>
    <hyperlink ref="E36" r:id="rId25" xr:uid="{00000000-0004-0000-0100-000018000000}"/>
    <hyperlink ref="E43" r:id="rId26" xr:uid="{00000000-0004-0000-0100-000019000000}"/>
    <hyperlink ref="E47" r:id="rId27" xr:uid="{00000000-0004-0000-0100-00001A000000}"/>
    <hyperlink ref="E42" r:id="rId28" xr:uid="{00000000-0004-0000-0100-00001B000000}"/>
    <hyperlink ref="E26" r:id="rId29" xr:uid="{00000000-0004-0000-0100-00001C000000}"/>
    <hyperlink ref="E38" r:id="rId30" xr:uid="{00000000-0004-0000-0100-00001D000000}"/>
    <hyperlink ref="E45" r:id="rId31" xr:uid="{00000000-0004-0000-0100-00001E000000}"/>
    <hyperlink ref="E40" r:id="rId32" xr:uid="{00000000-0004-0000-0100-00001F000000}"/>
    <hyperlink ref="E19" r:id="rId33" xr:uid="{00000000-0004-0000-0100-000020000000}"/>
    <hyperlink ref="E35" r:id="rId34" xr:uid="{00000000-0004-0000-0100-000021000000}"/>
    <hyperlink ref="E13" r:id="rId35" xr:uid="{00000000-0004-0000-0100-000022000000}"/>
    <hyperlink ref="E15" r:id="rId36" xr:uid="{00000000-0004-0000-0100-000023000000}"/>
    <hyperlink ref="E11" r:id="rId37" xr:uid="{00000000-0004-0000-0100-000024000000}"/>
    <hyperlink ref="E12" r:id="rId38" xr:uid="{00000000-0004-0000-0100-000025000000}"/>
    <hyperlink ref="E7" r:id="rId39" xr:uid="{00000000-0004-0000-0100-000026000000}"/>
    <hyperlink ref="E46" r:id="rId40" xr:uid="{00000000-0004-0000-0100-000027000000}"/>
    <hyperlink ref="E44" r:id="rId41" xr:uid="{00000000-0004-0000-0100-000028000000}"/>
    <hyperlink ref="E32" r:id="rId42" xr:uid="{00000000-0004-0000-0100-000029000000}"/>
    <hyperlink ref="E6" r:id="rId43" xr:uid="{00000000-0004-0000-0100-00002A000000}"/>
  </hyperlink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O27"/>
  <sheetViews>
    <sheetView workbookViewId="0">
      <selection activeCell="M4" sqref="M4"/>
    </sheetView>
  </sheetViews>
  <sheetFormatPr baseColWidth="10" defaultColWidth="11.4609375" defaultRowHeight="14.6" x14ac:dyDescent="0.4"/>
  <cols>
    <col min="2" max="2" width="7.69140625" bestFit="1" customWidth="1"/>
    <col min="3" max="3" width="28.3046875" customWidth="1"/>
    <col min="4" max="4" width="13" customWidth="1"/>
    <col min="5" max="5" width="17" customWidth="1"/>
    <col min="6" max="6" width="28" customWidth="1"/>
    <col min="7" max="7" width="9.3046875" bestFit="1" customWidth="1"/>
    <col min="8" max="8" width="12.69140625" customWidth="1"/>
    <col min="9" max="9" width="15" bestFit="1" customWidth="1"/>
    <col min="10" max="10" width="14.53515625" bestFit="1" customWidth="1"/>
    <col min="11" max="11" width="12.84375" bestFit="1" customWidth="1"/>
    <col min="12" max="12" width="12.4609375" bestFit="1" customWidth="1"/>
    <col min="13" max="13" width="8.53515625" customWidth="1"/>
    <col min="14" max="14" width="13.53515625" bestFit="1" customWidth="1"/>
    <col min="15" max="15" width="63.3046875" bestFit="1" customWidth="1"/>
  </cols>
  <sheetData>
    <row r="2" spans="2:15" x14ac:dyDescent="0.4">
      <c r="G2" s="10"/>
      <c r="H2" s="10"/>
    </row>
    <row r="3" spans="2:15" x14ac:dyDescent="0.4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J3" s="1" t="s">
        <v>8</v>
      </c>
      <c r="K3" s="1" t="s">
        <v>9</v>
      </c>
      <c r="L3" s="1" t="s">
        <v>10</v>
      </c>
      <c r="M3" s="1" t="s">
        <v>11</v>
      </c>
      <c r="N3" s="1" t="s">
        <v>12</v>
      </c>
      <c r="O3" s="1" t="s">
        <v>13</v>
      </c>
    </row>
    <row r="4" spans="2:15" x14ac:dyDescent="0.4">
      <c r="B4" t="s">
        <v>147</v>
      </c>
      <c r="C4" t="s">
        <v>148</v>
      </c>
      <c r="D4" t="s">
        <v>36</v>
      </c>
      <c r="E4" s="18" t="s">
        <v>149</v>
      </c>
      <c r="F4" s="13" t="s">
        <v>150</v>
      </c>
      <c r="G4">
        <v>2</v>
      </c>
      <c r="I4" s="14">
        <v>23.988000953197478</v>
      </c>
      <c r="J4" s="14">
        <v>19.989999999999998</v>
      </c>
      <c r="K4" s="14">
        <f t="shared" ref="K4:K8" si="0">I4*G4*IF(ISBLANK(H4), 1, H4)</f>
        <v>47.976001906394956</v>
      </c>
      <c r="L4" s="14">
        <f>K4/1.2</f>
        <v>39.980001588662468</v>
      </c>
      <c r="M4" s="16"/>
      <c r="N4" s="15"/>
    </row>
    <row r="5" spans="2:15" x14ac:dyDescent="0.4">
      <c r="B5" t="s">
        <v>147</v>
      </c>
      <c r="C5" t="s">
        <v>151</v>
      </c>
      <c r="D5" t="s">
        <v>36</v>
      </c>
      <c r="E5" s="18" t="s">
        <v>152</v>
      </c>
      <c r="F5" s="13" t="s">
        <v>153</v>
      </c>
      <c r="G5">
        <v>1</v>
      </c>
      <c r="I5" s="14">
        <v>4.4880001783370975</v>
      </c>
      <c r="J5" s="14">
        <v>3.74</v>
      </c>
      <c r="K5" s="14">
        <f t="shared" si="0"/>
        <v>4.4880001783370975</v>
      </c>
      <c r="L5" s="14">
        <f t="shared" ref="L5:L8" si="1">K5/1.2</f>
        <v>3.7400001486142482</v>
      </c>
      <c r="M5" s="16"/>
      <c r="N5" s="15"/>
    </row>
    <row r="6" spans="2:15" x14ac:dyDescent="0.4">
      <c r="B6" t="s">
        <v>154</v>
      </c>
      <c r="C6" t="s">
        <v>155</v>
      </c>
      <c r="D6" t="s">
        <v>73</v>
      </c>
      <c r="E6" t="s">
        <v>156</v>
      </c>
      <c r="F6" s="13" t="s">
        <v>157</v>
      </c>
      <c r="G6">
        <v>2</v>
      </c>
      <c r="H6">
        <v>1.75</v>
      </c>
      <c r="I6" s="14">
        <v>58.89600234031677</v>
      </c>
      <c r="J6" s="14">
        <v>49.08</v>
      </c>
      <c r="K6" s="14">
        <f t="shared" si="0"/>
        <v>206.13600819110869</v>
      </c>
      <c r="L6" s="14">
        <f t="shared" si="1"/>
        <v>171.78000682592392</v>
      </c>
      <c r="M6" s="16">
        <v>4.53</v>
      </c>
      <c r="N6" s="15">
        <f>M6*H6*G6</f>
        <v>15.855</v>
      </c>
    </row>
    <row r="7" spans="2:15" x14ac:dyDescent="0.4">
      <c r="B7" t="s">
        <v>154</v>
      </c>
      <c r="C7" t="s">
        <v>155</v>
      </c>
      <c r="D7" t="s">
        <v>73</v>
      </c>
      <c r="E7" t="s">
        <v>156</v>
      </c>
      <c r="F7" s="13" t="s">
        <v>157</v>
      </c>
      <c r="G7">
        <v>3</v>
      </c>
      <c r="H7">
        <v>0.8</v>
      </c>
      <c r="I7" s="14">
        <v>58.89600234031677</v>
      </c>
      <c r="J7" s="14">
        <v>49.08</v>
      </c>
      <c r="K7" s="14">
        <f t="shared" si="0"/>
        <v>141.35040561676024</v>
      </c>
      <c r="L7" s="14">
        <f t="shared" si="1"/>
        <v>117.79200468063354</v>
      </c>
      <c r="M7" s="16">
        <v>4.53</v>
      </c>
      <c r="N7" s="15">
        <f>M7*H7*G7</f>
        <v>10.872000000000002</v>
      </c>
    </row>
    <row r="8" spans="2:15" x14ac:dyDescent="0.4">
      <c r="B8" t="s">
        <v>158</v>
      </c>
      <c r="C8" t="s">
        <v>159</v>
      </c>
      <c r="D8" t="s">
        <v>98</v>
      </c>
      <c r="E8" s="18" t="s">
        <v>160</v>
      </c>
      <c r="F8" s="13" t="s">
        <v>161</v>
      </c>
      <c r="G8">
        <v>50</v>
      </c>
      <c r="I8" s="14">
        <v>5.6000000000000001E-2</v>
      </c>
      <c r="J8" s="14">
        <v>4.6666664812300016E-2</v>
      </c>
      <c r="K8" s="14">
        <f t="shared" si="0"/>
        <v>2.8000000000000003</v>
      </c>
      <c r="L8" s="14">
        <f t="shared" si="1"/>
        <v>2.3333333333333335</v>
      </c>
      <c r="M8" s="16"/>
      <c r="N8" s="15"/>
      <c r="O8" t="s">
        <v>162</v>
      </c>
    </row>
    <row r="9" spans="2:15" x14ac:dyDescent="0.4">
      <c r="B9" s="2"/>
      <c r="C9" s="2"/>
      <c r="D9" s="2"/>
      <c r="E9" s="2"/>
      <c r="F9" s="6"/>
      <c r="G9" s="2"/>
      <c r="H9" s="2"/>
      <c r="I9" s="4"/>
      <c r="J9" s="4"/>
      <c r="K9" s="4"/>
      <c r="L9" s="4"/>
      <c r="M9" s="12"/>
      <c r="N9" s="12"/>
      <c r="O9" s="2"/>
    </row>
    <row r="10" spans="2:15" x14ac:dyDescent="0.4">
      <c r="I10" s="3"/>
      <c r="J10" s="3"/>
      <c r="K10" s="5">
        <f>SUBTOTAL(9, K4:K9)</f>
        <v>402.75041589260098</v>
      </c>
      <c r="L10" s="5">
        <f>SUBTOTAL(9, L4:L9)</f>
        <v>335.62534657716748</v>
      </c>
      <c r="M10" s="5"/>
      <c r="N10" s="17">
        <f>SUBTOTAL(9, N4:N9)</f>
        <v>26.727000000000004</v>
      </c>
      <c r="O10" s="10" t="s">
        <v>14</v>
      </c>
    </row>
    <row r="15" spans="2:15" ht="15" customHeight="1" x14ac:dyDescent="0.4">
      <c r="D15" s="11"/>
    </row>
    <row r="18" spans="6:14" x14ac:dyDescent="0.4">
      <c r="F18" s="7"/>
      <c r="I18" s="8"/>
      <c r="J18" s="8"/>
      <c r="K18" s="8"/>
      <c r="L18" s="8"/>
      <c r="M18" s="8"/>
      <c r="N18" s="8"/>
    </row>
    <row r="20" spans="6:14" x14ac:dyDescent="0.4">
      <c r="F20" s="7"/>
    </row>
    <row r="27" spans="6:14" x14ac:dyDescent="0.4">
      <c r="G27" s="9"/>
      <c r="H27" s="9"/>
    </row>
  </sheetData>
  <autoFilter ref="B3:O7" xr:uid="{00000000-0009-0000-0000-000002000000}"/>
  <hyperlinks>
    <hyperlink ref="F4" r:id="rId1" display="https://www.haberkorn.com/item-profilsysteme/mb-systembaukasten/profile-und-zubehoer/konstruktionsprofil/1093819-konstruktionsprofil-8-rastermass-40-mm?partNumber=Z12685" xr:uid="{00000000-0004-0000-0200-000000000000}"/>
    <hyperlink ref="F5" r:id="rId2" display="https://www.haberkorn.com/item-profilsysteme/mb-systembaukasten/profile-und-zubehoer/konstruktionsprofil/1093819-konstruktionsprofil-8-rastermass-40-mm?partNumber=Z12685" xr:uid="{00000000-0004-0000-0200-000001000000}"/>
    <hyperlink ref="F6" r:id="rId3" xr:uid="{00000000-0004-0000-0200-000002000000}"/>
    <hyperlink ref="F7" r:id="rId4" xr:uid="{00000000-0004-0000-0200-000003000000}"/>
  </hyperlinks>
  <pageMargins left="0.7" right="0.7" top="0.78740157499999996" bottom="0.78740157499999996" header="0.3" footer="0.3"/>
  <pageSetup paperSize="9"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3:D17"/>
  <sheetViews>
    <sheetView workbookViewId="0">
      <selection activeCell="D22" sqref="D22"/>
    </sheetView>
  </sheetViews>
  <sheetFormatPr baseColWidth="10" defaultColWidth="11.4609375" defaultRowHeight="14.6" x14ac:dyDescent="0.4"/>
  <cols>
    <col min="2" max="2" width="6.53515625" bestFit="1" customWidth="1"/>
    <col min="3" max="3" width="14.53515625" bestFit="1" customWidth="1"/>
    <col min="4" max="4" width="65.3046875" bestFit="1" customWidth="1"/>
  </cols>
  <sheetData>
    <row r="3" spans="2:4" x14ac:dyDescent="0.4">
      <c r="B3" s="21" t="s">
        <v>163</v>
      </c>
      <c r="C3" s="1" t="s">
        <v>164</v>
      </c>
      <c r="D3" s="1" t="s">
        <v>15</v>
      </c>
    </row>
    <row r="4" spans="2:4" ht="29.15" x14ac:dyDescent="0.4">
      <c r="B4" s="22">
        <v>1</v>
      </c>
      <c r="C4" s="23" t="s">
        <v>0</v>
      </c>
      <c r="D4" s="24" t="s">
        <v>165</v>
      </c>
    </row>
    <row r="5" spans="2:4" x14ac:dyDescent="0.4">
      <c r="B5" s="22">
        <v>2</v>
      </c>
      <c r="C5" s="23" t="s">
        <v>1</v>
      </c>
      <c r="D5" s="23" t="s">
        <v>166</v>
      </c>
    </row>
    <row r="6" spans="2:4" x14ac:dyDescent="0.4">
      <c r="B6" s="22">
        <v>3</v>
      </c>
      <c r="C6" s="23" t="s">
        <v>2</v>
      </c>
      <c r="D6" s="23" t="s">
        <v>167</v>
      </c>
    </row>
    <row r="7" spans="2:4" x14ac:dyDescent="0.4">
      <c r="B7" s="22">
        <v>4</v>
      </c>
      <c r="C7" s="23" t="s">
        <v>3</v>
      </c>
      <c r="D7" s="23" t="s">
        <v>168</v>
      </c>
    </row>
    <row r="8" spans="2:4" x14ac:dyDescent="0.4">
      <c r="B8" s="22">
        <v>5</v>
      </c>
      <c r="C8" s="23" t="s">
        <v>4</v>
      </c>
      <c r="D8" s="23" t="s">
        <v>169</v>
      </c>
    </row>
    <row r="9" spans="2:4" x14ac:dyDescent="0.4">
      <c r="B9" s="22">
        <v>6</v>
      </c>
      <c r="C9" s="23" t="s">
        <v>5</v>
      </c>
      <c r="D9" s="23" t="s">
        <v>170</v>
      </c>
    </row>
    <row r="10" spans="2:4" x14ac:dyDescent="0.4">
      <c r="B10" s="22">
        <v>7</v>
      </c>
      <c r="C10" s="23" t="s">
        <v>6</v>
      </c>
      <c r="D10" s="23" t="s">
        <v>171</v>
      </c>
    </row>
    <row r="11" spans="2:4" ht="29.15" x14ac:dyDescent="0.4">
      <c r="B11" s="22">
        <v>8</v>
      </c>
      <c r="C11" s="23" t="s">
        <v>7</v>
      </c>
      <c r="D11" s="24" t="s">
        <v>172</v>
      </c>
    </row>
    <row r="12" spans="2:4" ht="29.15" x14ac:dyDescent="0.4">
      <c r="B12" s="22">
        <v>9</v>
      </c>
      <c r="C12" s="23" t="s">
        <v>8</v>
      </c>
      <c r="D12" s="24" t="s">
        <v>173</v>
      </c>
    </row>
    <row r="13" spans="2:4" x14ac:dyDescent="0.4">
      <c r="B13" s="22">
        <v>10</v>
      </c>
      <c r="C13" s="23" t="s">
        <v>9</v>
      </c>
      <c r="D13" s="23" t="s">
        <v>174</v>
      </c>
    </row>
    <row r="14" spans="2:4" x14ac:dyDescent="0.4">
      <c r="B14" s="22">
        <v>11</v>
      </c>
      <c r="C14" s="23" t="s">
        <v>10</v>
      </c>
      <c r="D14" s="23" t="s">
        <v>175</v>
      </c>
    </row>
    <row r="15" spans="2:4" x14ac:dyDescent="0.4">
      <c r="B15" s="22">
        <v>12</v>
      </c>
      <c r="C15" s="23" t="s">
        <v>11</v>
      </c>
      <c r="D15" s="23" t="s">
        <v>176</v>
      </c>
    </row>
    <row r="16" spans="2:4" ht="29.15" x14ac:dyDescent="0.4">
      <c r="B16" s="22">
        <v>13</v>
      </c>
      <c r="C16" s="23" t="s">
        <v>12</v>
      </c>
      <c r="D16" s="24" t="s">
        <v>177</v>
      </c>
    </row>
    <row r="17" spans="2:4" x14ac:dyDescent="0.4">
      <c r="B17" s="22">
        <v>14</v>
      </c>
      <c r="C17" s="23" t="s">
        <v>13</v>
      </c>
      <c r="D17" s="23" t="s">
        <v>13</v>
      </c>
    </row>
  </sheetData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555c732-8e93-43cd-b8ff-027508ddf019" xsi:nil="true"/>
    <lcf76f155ced4ddcb4097134ff3c332f xmlns="d375de34-27f2-44e1-9264-af921947036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D31C0539A70124D83FE27768DDE6687" ma:contentTypeVersion="11" ma:contentTypeDescription="Ein neues Dokument erstellen." ma:contentTypeScope="" ma:versionID="087d5e5cdd45b984b0e70884a7cd163a">
  <xsd:schema xmlns:xsd="http://www.w3.org/2001/XMLSchema" xmlns:xs="http://www.w3.org/2001/XMLSchema" xmlns:p="http://schemas.microsoft.com/office/2006/metadata/properties" xmlns:ns2="d375de34-27f2-44e1-9264-af9219470361" xmlns:ns3="e555c732-8e93-43cd-b8ff-027508ddf019" targetNamespace="http://schemas.microsoft.com/office/2006/metadata/properties" ma:root="true" ma:fieldsID="e52615c53f528013c902dbecc06dfcf7" ns2:_="" ns3:_="">
    <xsd:import namespace="d375de34-27f2-44e1-9264-af9219470361"/>
    <xsd:import namespace="e555c732-8e93-43cd-b8ff-027508ddf0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75de34-27f2-44e1-9264-af92194703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ildmarkierungen" ma:readOnly="false" ma:fieldId="{5cf76f15-5ced-4ddc-b409-7134ff3c332f}" ma:taxonomyMulti="true" ma:sspId="c3f857fd-6730-400c-a7bb-5d6cb38ec36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55c732-8e93-43cd-b8ff-027508ddf01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ad8a4d7-9e8f-473b-9b53-f59305d577f8}" ma:internalName="TaxCatchAll" ma:showField="CatchAllData" ma:web="e555c732-8e93-43cd-b8ff-027508ddf01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613FDB-B70B-4C9E-9156-3277845BBBD5}">
  <ds:schemaRefs>
    <ds:schemaRef ds:uri="http://schemas.microsoft.com/office/2006/metadata/properties"/>
    <ds:schemaRef ds:uri="http://schemas.microsoft.com/office/infopath/2007/PartnerControls"/>
    <ds:schemaRef ds:uri="e555c732-8e93-43cd-b8ff-027508ddf019"/>
    <ds:schemaRef ds:uri="d375de34-27f2-44e1-9264-af9219470361"/>
  </ds:schemaRefs>
</ds:datastoreItem>
</file>

<file path=customXml/itemProps2.xml><?xml version="1.0" encoding="utf-8"?>
<ds:datastoreItem xmlns:ds="http://schemas.openxmlformats.org/officeDocument/2006/customXml" ds:itemID="{9F5DB395-6E8D-4CF1-BA8D-A17723EE305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8E207BC-8183-49DB-ABCB-60B6A04C1B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375de34-27f2-44e1-9264-af9219470361"/>
    <ds:schemaRef ds:uri="e555c732-8e93-43cd-b8ff-027508ddf0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Bestellliste</vt:lpstr>
      <vt:lpstr>Übliche Händler</vt:lpstr>
      <vt:lpstr>Beispiel</vt:lpstr>
      <vt:lpstr>Beschreibung-Spalten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Windows-Benutzer</dc:creator>
  <cp:keywords/>
  <dc:description/>
  <cp:lastModifiedBy>Manuel Hofer</cp:lastModifiedBy>
  <cp:revision/>
  <dcterms:created xsi:type="dcterms:W3CDTF">2021-12-01T09:08:01Z</dcterms:created>
  <dcterms:modified xsi:type="dcterms:W3CDTF">2025-12-05T13:13:50Z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0x0101000D31C0539A70124D83FE27768DDE6687</vt:lpwstr>
  </property>
  <property fmtid="{D5CDD505-2E9C-101B-9397-08002B2CF9AE}" pid="3" name="MediaServiceImageTags">
    <vt:lpwstr/>
  </property>
</Properties>
</file>